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AMORTIZACION" sheetId="2" state="visible" r:id="rId4"/>
    <sheet name="RESUMEN" sheetId="3" state="visible" r:id="rId5"/>
  </sheets>
  <definedNames>
    <definedName function="false" hidden="true" localSheetId="1" name="_xlnm._FilterDatabase" vbProcedure="false">AMORTIZACION!$A$2:$Q$722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Cambia esta celda para mover el inicio del horizonte. El número de meses se recalcula solo.</t>
        </r>
      </text>
    </comment>
    <comment ref="C7" authorId="0">
      <text>
        <r>
          <rPr>
            <sz val="10"/>
            <rFont val="Arial"/>
            <family val="2"/>
          </rPr>
          <t xml:space="preserve">Cambia esta celda para mover el final del horizonte (máx. soportado: 60 años de proyección).</t>
        </r>
      </text>
    </comment>
    <comment ref="C13" authorId="0">
      <text>
        <r>
          <rPr>
            <sz val="10"/>
            <rFont val="Arial"/>
            <family val="2"/>
          </rPr>
          <t xml:space="preserve">Porcentaje del gasto mensual inicial que corresponde a gasto médico.</t>
        </r>
      </text>
    </comment>
    <comment ref="C17" authorId="0">
      <text>
        <r>
          <rPr>
            <sz val="10"/>
            <rFont val="Arial"/>
            <family val="2"/>
          </rPr>
          <t xml:space="preserve">Supuesto constante para la proyección; no es una predicción real del INPC a 30 años.</t>
        </r>
      </text>
    </comment>
    <comment ref="C21" authorId="0">
      <text>
        <r>
          <rPr>
            <sz val="10"/>
            <rFont val="Arial"/>
            <family val="2"/>
          </rPr>
          <t xml:space="preserve">Aproximación provisional (2026). El ISR definitivo depende del régimen fiscal real; no es impuesto definitivo.</t>
        </r>
      </text>
    </comment>
    <comment ref="C29" authorId="0">
      <text>
        <r>
          <rPr>
            <sz val="10"/>
            <rFont val="Arial"/>
            <family val="2"/>
          </rPr>
          <t xml:space="preserve">Supuestos actuariales aproximados, no tasas oficiales mexicanas. Editables.</t>
        </r>
      </text>
    </comment>
  </commentList>
</comments>
</file>

<file path=xl/sharedStrings.xml><?xml version="1.0" encoding="utf-8"?>
<sst xmlns="http://schemas.openxmlformats.org/spreadsheetml/2006/main" count="80" uniqueCount="80">
  <si>
    <t xml:space="preserve">MODELO DE AMORTIZACIÓN FINANCIERA — PARÁMETROS</t>
  </si>
  <si>
    <t xml:space="preserve">Proyección patrimonial mensual — celdas azules = editables. Modifica cualquier supuesto y todo el modelo se recalcula.</t>
  </si>
  <si>
    <t xml:space="preserve">1. DATOS INICIALES DEL HORIZONTE</t>
  </si>
  <si>
    <t xml:space="preserve">Edad inicial (años)</t>
  </si>
  <si>
    <t xml:space="preserve">Edad final (años)</t>
  </si>
  <si>
    <t xml:space="preserve">Capital inicial (MXN)</t>
  </si>
  <si>
    <t xml:space="preserve">Pensión mensual inicial (MXN)</t>
  </si>
  <si>
    <t xml:space="preserve">Gasto mensual inicial (MXN)</t>
  </si>
  <si>
    <t xml:space="preserve">2. DISTRIBUCIÓN DEL GASTO (editable)</t>
  </si>
  <si>
    <t xml:space="preserve">% Gasto médico</t>
  </si>
  <si>
    <t xml:space="preserve">% Gasto general</t>
  </si>
  <si>
    <t xml:space="preserve">3. SUPUESTOS ANUALES (editable)</t>
  </si>
  <si>
    <t xml:space="preserve">INPC anual (actualiza pensión, 1 vez/año)</t>
  </si>
  <si>
    <t xml:space="preserve">Inflación subyacente anual (gasto general)</t>
  </si>
  <si>
    <t xml:space="preserve">Inflación médica anual (gasto médico)</t>
  </si>
  <si>
    <t xml:space="preserve">CETES 28 días anual (rendimiento)</t>
  </si>
  <si>
    <t xml:space="preserve">Retención fiscal inversión anual</t>
  </si>
  <si>
    <t xml:space="preserve">4. AGING FACTOR — GASTO MÉDICO (editable)</t>
  </si>
  <si>
    <t xml:space="preserve">Aging 65–69 años (anual)</t>
  </si>
  <si>
    <t xml:space="preserve">Aging 70–74 años (anual)</t>
  </si>
  <si>
    <t xml:space="preserve">Aging 75–79 años (anual)</t>
  </si>
  <si>
    <t xml:space="preserve">Aging 80–84 años (anual)</t>
  </si>
  <si>
    <t xml:space="preserve">Aging 85–89 años (anual)</t>
  </si>
  <si>
    <t xml:space="preserve">Aging 90+ años (anual)</t>
  </si>
  <si>
    <t xml:space="preserve">Nota: estos son SUPUESTOS para el modelo determinístico, no predicciones oficiales.</t>
  </si>
  <si>
    <t xml:space="preserve">5. VALORES CALCULADOS AUTOMÁTICAMENTE</t>
  </si>
  <si>
    <t xml:space="preserve">Número de meses del horizonte</t>
  </si>
  <si>
    <t xml:space="preserve">Gasto médico inicial (MXN)</t>
  </si>
  <si>
    <t xml:space="preserve">Gasto general inicial (MXN)</t>
  </si>
  <si>
    <t xml:space="preserve">Inflación subyacente mensual</t>
  </si>
  <si>
    <t xml:space="preserve">Inflación médica mensual</t>
  </si>
  <si>
    <t xml:space="preserve">CETES mensual</t>
  </si>
  <si>
    <t xml:space="preserve">Retención fiscal mensual equiv.</t>
  </si>
  <si>
    <t xml:space="preserve">Aging 65–69 mensual</t>
  </si>
  <si>
    <t xml:space="preserve">Aging 70–74 mensual</t>
  </si>
  <si>
    <t xml:space="preserve">Aging 75–79 mensual</t>
  </si>
  <si>
    <t xml:space="preserve">Aging 80–84 mensual</t>
  </si>
  <si>
    <t xml:space="preserve">Aging 85–89 mensual</t>
  </si>
  <si>
    <t xml:space="preserve">Aging 90+ mensual</t>
  </si>
  <si>
    <t xml:space="preserve">IMPORTANTE: fila 33 (número de meses) alimenta automáticamente el número de filas activas
en la hoja AMORTIZACION (máx. soportado 720 meses / 60 años). Las filas de AMORTIZACION más
allá del horizonte activo se muestran en blanco.</t>
  </si>
  <si>
    <t xml:space="preserve">AMORTIZACIÓN MENSUAL — 1 fila por mes (auto-generada según PARAMETROS!C6:C7)</t>
  </si>
  <si>
    <t xml:space="preserve">Mes</t>
  </si>
  <si>
    <t xml:space="preserve">Año proy.</t>
  </si>
  <si>
    <t xml:space="preserve">Edad</t>
  </si>
  <si>
    <t xml:space="preserve">Mes en edad</t>
  </si>
  <si>
    <t xml:space="preserve">Saldo inicial</t>
  </si>
  <si>
    <t xml:space="preserve">Tasa CETES mens.</t>
  </si>
  <si>
    <t xml:space="preserve">Rend. CETES</t>
  </si>
  <si>
    <t xml:space="preserve">Retención inv.</t>
  </si>
  <si>
    <t xml:space="preserve">Rend. neto</t>
  </si>
  <si>
    <t xml:space="preserve">Pensión mensual</t>
  </si>
  <si>
    <t xml:space="preserve">Gasto general</t>
  </si>
  <si>
    <t xml:space="preserve">Gasto médico</t>
  </si>
  <si>
    <t xml:space="preserve">Aging médico (tasa mens.)</t>
  </si>
  <si>
    <t xml:space="preserve">Gasto total</t>
  </si>
  <si>
    <t xml:space="preserve">Flujo neto</t>
  </si>
  <si>
    <t xml:space="preserve">Saldo final</t>
  </si>
  <si>
    <t xml:space="preserve">Estado</t>
  </si>
  <si>
    <t xml:space="preserve">RESUMEN DEL MODELO</t>
  </si>
  <si>
    <t xml:space="preserve">DATOS DEL HORIZONTE</t>
  </si>
  <si>
    <t xml:space="preserve">Edad inicial</t>
  </si>
  <si>
    <t xml:space="preserve">Edad final</t>
  </si>
  <si>
    <t xml:space="preserve">Meses proyectados</t>
  </si>
  <si>
    <t xml:space="preserve">Capital inicial</t>
  </si>
  <si>
    <t xml:space="preserve">Pensión inicial</t>
  </si>
  <si>
    <t xml:space="preserve">Gasto inicial</t>
  </si>
  <si>
    <t xml:space="preserve">RESULTADOS AL FINAL DEL HORIZONTE</t>
  </si>
  <si>
    <t xml:space="preserve">Pensión mensual final</t>
  </si>
  <si>
    <t xml:space="preserve">Gasto mensual total final</t>
  </si>
  <si>
    <t xml:space="preserve">Gasto médico mensual final</t>
  </si>
  <si>
    <t xml:space="preserve">% del gasto que es médico (final)</t>
  </si>
  <si>
    <t xml:space="preserve">Saldo al final del horizonte</t>
  </si>
  <si>
    <t xml:space="preserve">¿SE AGOTA EL PATRIMONIO?</t>
  </si>
  <si>
    <t xml:space="preserve">Indicador</t>
  </si>
  <si>
    <t xml:space="preserve">Edad de agotamiento</t>
  </si>
  <si>
    <t xml:space="preserve">Mes de agotamiento (dentro del horizonte)</t>
  </si>
  <si>
    <t xml:space="preserve">PREGUNTAS 7 Y 8 — CAPITAL / PENSIÓN NECESARIOS</t>
  </si>
  <si>
    <t xml:space="preserve">Estas preguntas (capital inicial mínimo para llegar a los 95 con saldo ≥ 0, o pensión inicial mínima para que $1,000,000 alcancen) requieren una búsqueda iterativa (goal seek), no una fórmula cerrada, porque el gasto médico compuesto con aging no tiene solución algebraica simple.
Cómo resolverlas en Excel:
1) Ve a Datos &gt; Análisis Y si &gt; Buscar objetivo.
2) 'Definir la celda': RESUMEN!C17 (Saldo al final del horizonte).
3) 'Con el valor': 0
4) 'Para cambiar la celda': PARAMETROS!C8 (capital inicial) o PARAMETROS!C9 (pensión inicial).
Excel encontrará el valor exacto iterando el modelo de 360 meses.</t>
  </si>
  <si>
    <t xml:space="preserve">GRÁFICAS</t>
  </si>
  <si>
    <t xml:space="preserve">Nota: las gráficas usan el rango por defecto (360 meses, escenario 65→95). Si cambias el horizonte de forma importante, ajusta el rango de datos de la gráfica (clic derecho &gt; Seleccionar datos).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</si>
</sst>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$#,##0;&quot;($&quot;#,##0\);\-"/>
    <numFmt numFmtId="167" formatCode="0.00%;\(0.00%\);\-"/>
    <numFmt numFmtId="168" formatCode="0.0000%;\(0.0000%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74151"/>
      </patternFill>
    </fill>
    <fill>
      <patternFill patternType="solid">
        <fgColor rgb="FF374151"/>
        <bgColor rgb="FF1F2937"/>
      </patternFill>
    </fill>
    <fill>
      <patternFill patternType="solid">
        <fgColor rgb="FFFFFDE7"/>
        <bgColor rgb="FFFFFFFF"/>
      </patternFill>
    </fill>
    <fill>
      <patternFill patternType="solid">
        <fgColor rgb="FFF3F4F6"/>
        <bgColor rgb="FFEFF6FF"/>
      </patternFill>
    </fill>
    <fill>
      <patternFill patternType="solid">
        <fgColor rgb="FF2563EB"/>
        <bgColor rgb="FF0066CC"/>
      </patternFill>
    </fill>
    <fill>
      <patternFill patternType="solid">
        <fgColor rgb="FFEFF6FF"/>
        <bgColor rgb="FFF3F4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1E40AF"/>
      </left>
      <right style="thin">
        <color rgb="FF1E40AF"/>
      </right>
      <top style="thin">
        <color rgb="FF1E40AF"/>
      </top>
      <bottom style="thin">
        <color rgb="FF1E40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563EB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b val="1"/>
        <color rgb="FF166534"/>
      </font>
      <fill>
        <patternFill>
          <bgColor rgb="FFDCFCE7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6534"/>
      <rgbColor rgb="FFD9D9D9"/>
      <rgbColor rgb="FF878787"/>
      <rgbColor rgb="FF9999FF"/>
      <rgbColor rgb="FF993366"/>
      <rgbColor rgb="FFFFFDE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3F4F6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16A34A"/>
      <rgbColor rgb="FF003300"/>
      <rgbColor rgb="FF374151"/>
      <rgbColor rgb="FF991B1B"/>
      <rgbColor rgb="FF993366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del patrimonio (saldo final mensual)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AMORTIZACION!P2</c:f>
              <c:strCache>
                <c:ptCount val="1"/>
                <c:pt idx="0">
                  <c:v>Saldo final</c:v>
                </c:pt>
              </c:strCache>
            </c:strRef>
          </c:tx>
          <c:spPr>
            <a:solidFill>
              <a:srgbClr val="2563eb"/>
            </a:solidFill>
            <a:ln w="2016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AMORTIZACION!$A$3:$A$362</c:f>
              <c:strCach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strCache>
            </c:strRef>
          </c:cat>
          <c:val>
            <c:numRef>
              <c:f>AMORTIZACION!$P$3:$P$362</c:f>
              <c:numCache>
                <c:formatCode>\$#,##0;"($"#,##0\);\-</c:formatCode>
                <c:ptCount val="360"/>
                <c:pt idx="0">
                  <c:v>1002207.48426134</c:v>
                </c:pt>
                <c:pt idx="1">
                  <c:v>1004295.43758338</c:v>
                </c:pt>
                <c:pt idx="2">
                  <c:v>1006262.79250667</c:v>
                </c:pt>
                <c:pt idx="3">
                  <c:v>1008108.47435516</c:v>
                </c:pt>
                <c:pt idx="4">
                  <c:v>1009831.40119147</c:v>
                </c:pt>
                <c:pt idx="5">
                  <c:v>1011430.48377175</c:v>
                </c:pt>
                <c:pt idx="6">
                  <c:v>1012904.62550045</c:v>
                </c:pt>
                <c:pt idx="7">
                  <c:v>1014252.72238464</c:v>
                </c:pt>
                <c:pt idx="8">
                  <c:v>1015473.6629882</c:v>
                </c:pt>
                <c:pt idx="9">
                  <c:v>1016566.32838563</c:v>
                </c:pt>
                <c:pt idx="10">
                  <c:v>1017529.59211565</c:v>
                </c:pt>
                <c:pt idx="11">
                  <c:v>1018362.32013446</c:v>
                </c:pt>
                <c:pt idx="12">
                  <c:v>1020245.37076877</c:v>
                </c:pt>
                <c:pt idx="13">
                  <c:v>1022000.56791492</c:v>
                </c:pt>
                <c:pt idx="14">
                  <c:v>1023626.77542338</c:v>
                </c:pt>
                <c:pt idx="15">
                  <c:v>1025122.84946048</c:v>
                </c:pt>
                <c:pt idx="16">
                  <c:v>1026487.63846066</c:v>
                </c:pt>
                <c:pt idx="17">
                  <c:v>1027719.98307837</c:v>
                </c:pt>
                <c:pt idx="18">
                  <c:v>1028818.71613979</c:v>
                </c:pt>
                <c:pt idx="19">
                  <c:v>1029782.66259414</c:v>
                </c:pt>
                <c:pt idx="20">
                  <c:v>1030610.63946478</c:v>
                </c:pt>
                <c:pt idx="21">
                  <c:v>1031301.45579994</c:v>
                </c:pt>
                <c:pt idx="22">
                  <c:v>1031853.91262323</c:v>
                </c:pt>
                <c:pt idx="23">
                  <c:v>1032266.80288383</c:v>
                </c:pt>
                <c:pt idx="24">
                  <c:v>1033767.48220628</c:v>
                </c:pt>
                <c:pt idx="25">
                  <c:v>1035131.32563245</c:v>
                </c:pt>
                <c:pt idx="26">
                  <c:v>1036357.12333543</c:v>
                </c:pt>
                <c:pt idx="27">
                  <c:v>1037443.65730302</c:v>
                </c:pt>
                <c:pt idx="28">
                  <c:v>1038389.70128677</c:v>
                </c:pt>
                <c:pt idx="29">
                  <c:v>1039194.02075069</c:v>
                </c:pt>
                <c:pt idx="30">
                  <c:v>1039855.37281967</c:v>
                </c:pt>
                <c:pt idx="31">
                  <c:v>1040372.50622758</c:v>
                </c:pt>
                <c:pt idx="32">
                  <c:v>1040744.16126505</c:v>
                </c:pt>
                <c:pt idx="33">
                  <c:v>1040969.06972696</c:v>
                </c:pt>
                <c:pt idx="34">
                  <c:v>1041045.95485953</c:v>
                </c:pt>
                <c:pt idx="35">
                  <c:v>1040973.53130724</c:v>
                </c:pt>
                <c:pt idx="36">
                  <c:v>1042027.48154876</c:v>
                </c:pt>
                <c:pt idx="37">
                  <c:v>1042934.89923312</c:v>
                </c:pt>
                <c:pt idx="38">
                  <c:v>1043694.49548336</c:v>
                </c:pt>
                <c:pt idx="39">
                  <c:v>1044304.97269992</c:v>
                </c:pt>
                <c:pt idx="40">
                  <c:v>1044765.02450621</c:v>
                </c:pt>
                <c:pt idx="41">
                  <c:v>1045073.33569393</c:v>
                </c:pt>
                <c:pt idx="42">
                  <c:v>1045228.58216795</c:v>
                </c:pt>
                <c:pt idx="43">
                  <c:v>1045229.43089095</c:v>
                </c:pt>
                <c:pt idx="44">
                  <c:v>1045074.53982764</c:v>
                </c:pt>
                <c:pt idx="45">
                  <c:v>1044762.55788874</c:v>
                </c:pt>
                <c:pt idx="46">
                  <c:v>1044292.12487451</c:v>
                </c:pt>
                <c:pt idx="47">
                  <c:v>1043661.87141801</c:v>
                </c:pt>
                <c:pt idx="48">
                  <c:v>1044197.70829123</c:v>
                </c:pt>
                <c:pt idx="49">
                  <c:v>1044576.54280707</c:v>
                </c:pt>
                <c:pt idx="50">
                  <c:v>1044797.00124989</c:v>
                </c:pt>
                <c:pt idx="51">
                  <c:v>1044857.70060521</c:v>
                </c:pt>
                <c:pt idx="52">
                  <c:v>1044757.2485016</c:v>
                </c:pt>
                <c:pt idx="53">
                  <c:v>1044494.24315226</c:v>
                </c:pt>
                <c:pt idx="54">
                  <c:v>1044067.27329623</c:v>
                </c:pt>
                <c:pt idx="55">
                  <c:v>1043474.9181392</c:v>
                </c:pt>
                <c:pt idx="56">
                  <c:v>1042715.747294</c:v>
                </c:pt>
                <c:pt idx="57">
                  <c:v>1041788.32072074</c:v>
                </c:pt>
                <c:pt idx="58">
                  <c:v>1040691.18866657</c:v>
                </c:pt>
                <c:pt idx="59">
                  <c:v>1039422.89160503</c:v>
                </c:pt>
                <c:pt idx="60">
                  <c:v>1039365.35470337</c:v>
                </c:pt>
                <c:pt idx="61">
                  <c:v>1039143.38213591</c:v>
                </c:pt>
                <c:pt idx="62">
                  <c:v>1038755.57323472</c:v>
                </c:pt>
                <c:pt idx="63">
                  <c:v>1038200.51813053</c:v>
                </c:pt>
                <c:pt idx="64">
                  <c:v>1037476.79769736</c:v>
                </c:pt>
                <c:pt idx="65">
                  <c:v>1036582.98349685</c:v>
                </c:pt>
                <c:pt idx="66">
                  <c:v>1035517.63772233</c:v>
                </c:pt>
                <c:pt idx="67">
                  <c:v>1034279.31314242</c:v>
                </c:pt>
                <c:pt idx="68">
                  <c:v>1032866.55304448</c:v>
                </c:pt>
                <c:pt idx="69">
                  <c:v>1031277.89117761</c:v>
                </c:pt>
                <c:pt idx="70">
                  <c:v>1029511.85169534</c:v>
                </c:pt>
                <c:pt idx="71">
                  <c:v>1027566.94909801</c:v>
                </c:pt>
                <c:pt idx="72">
                  <c:v>1026875.62837078</c:v>
                </c:pt>
                <c:pt idx="73">
                  <c:v>1026008.47761826</c:v>
                </c:pt>
                <c:pt idx="74">
                  <c:v>1024964.00741704</c:v>
                </c:pt>
                <c:pt idx="75">
                  <c:v>1023740.71856346</c:v>
                </c:pt>
                <c:pt idx="76">
                  <c:v>1022337.10201473</c:v>
                </c:pt>
                <c:pt idx="77">
                  <c:v>1020751.63882968</c:v>
                </c:pt>
                <c:pt idx="78">
                  <c:v>1018982.80010926</c:v>
                </c:pt>
                <c:pt idx="79">
                  <c:v>1017029.04693658</c:v>
                </c:pt>
                <c:pt idx="80">
                  <c:v>1014888.8303167</c:v>
                </c:pt>
                <c:pt idx="81">
                  <c:v>1012560.59111597</c:v>
                </c:pt>
                <c:pt idx="82">
                  <c:v>1010042.76000113</c:v>
                </c:pt>
                <c:pt idx="83">
                  <c:v>1007333.75737796</c:v>
                </c:pt>
                <c:pt idx="84">
                  <c:v>1005922.43076927</c:v>
                </c:pt>
                <c:pt idx="85">
                  <c:v>1004323.01342598</c:v>
                </c:pt>
                <c:pt idx="86">
                  <c:v>1002533.92098466</c:v>
                </c:pt>
                <c:pt idx="87">
                  <c:v>1000553.5586831</c:v>
                </c:pt>
                <c:pt idx="88">
                  <c:v>998380.321297664</c:v>
                </c:pt>
                <c:pt idx="89">
                  <c:v>996012.593080284</c:v>
                </c:pt>
                <c:pt idx="90">
                  <c:v>993448.747695059</c:v>
                </c:pt>
                <c:pt idx="91">
                  <c:v>990687.148154515</c:v>
                </c:pt>
                <c:pt idx="92">
                  <c:v>987726.146755479</c:v>
                </c:pt>
                <c:pt idx="93">
                  <c:v>984564.085014583</c:v>
                </c:pt>
                <c:pt idx="94">
                  <c:v>981199.293603394</c:v>
                </c:pt>
                <c:pt idx="95">
                  <c:v>977630.092283157</c:v>
                </c:pt>
                <c:pt idx="96">
                  <c:v>975403.950513957</c:v>
                </c:pt>
                <c:pt idx="97">
                  <c:v>972976.523433505</c:v>
                </c:pt>
                <c:pt idx="98">
                  <c:v>970346.125101452</c:v>
                </c:pt>
                <c:pt idx="99">
                  <c:v>967511.0585177</c:v>
                </c:pt>
                <c:pt idx="100">
                  <c:v>964469.615555707</c:v>
                </c:pt>
                <c:pt idx="101">
                  <c:v>961220.076895418</c:v>
                </c:pt>
                <c:pt idx="102">
                  <c:v>957760.711955792</c:v>
                </c:pt>
                <c:pt idx="103">
                  <c:v>954089.778826942</c:v>
                </c:pt>
                <c:pt idx="104">
                  <c:v>950205.524201879</c:v>
                </c:pt>
                <c:pt idx="105">
                  <c:v>946106.183307855</c:v>
                </c:pt>
                <c:pt idx="106">
                  <c:v>941789.97983731</c:v>
                </c:pt>
                <c:pt idx="107">
                  <c:v>937255.125878409</c:v>
                </c:pt>
                <c:pt idx="108">
                  <c:v>934110.019450553</c:v>
                </c:pt>
                <c:pt idx="109">
                  <c:v>930749.426499074</c:v>
                </c:pt>
                <c:pt idx="110">
                  <c:v>927171.552383709</c:v>
                </c:pt>
                <c:pt idx="111">
                  <c:v>923374.590697949</c:v>
                </c:pt>
                <c:pt idx="112">
                  <c:v>919356.723198033</c:v>
                </c:pt>
                <c:pt idx="113">
                  <c:v>915116.119731535</c:v>
                </c:pt>
                <c:pt idx="114">
                  <c:v>910650.938165524</c:v>
                </c:pt>
                <c:pt idx="115">
                  <c:v>905959.324314311</c:v>
                </c:pt>
                <c:pt idx="116">
                  <c:v>901039.411866771</c:v>
                </c:pt>
                <c:pt idx="117">
                  <c:v>895889.322313243</c:v>
                </c:pt>
                <c:pt idx="118">
                  <c:v>890507.164872002</c:v>
                </c:pt>
                <c:pt idx="119">
                  <c:v>884891.036415298</c:v>
                </c:pt>
                <c:pt idx="120">
                  <c:v>880718.145036158</c:v>
                </c:pt>
                <c:pt idx="121">
                  <c:v>876320.051908673</c:v>
                </c:pt>
                <c:pt idx="122">
                  <c:v>871694.933765104</c:v>
                </c:pt>
                <c:pt idx="123">
                  <c:v>866840.955745076</c:v>
                </c:pt>
                <c:pt idx="124">
                  <c:v>861756.271328217</c:v>
                </c:pt>
                <c:pt idx="125">
                  <c:v>856439.022266399</c:v>
                </c:pt>
                <c:pt idx="126">
                  <c:v>850887.338515622</c:v>
                </c:pt>
                <c:pt idx="127">
                  <c:v>845099.338167501</c:v>
                </c:pt>
                <c:pt idx="128">
                  <c:v>839073.127380383</c:v>
                </c:pt>
                <c:pt idx="129">
                  <c:v>832806.800310068</c:v>
                </c:pt>
                <c:pt idx="130">
                  <c:v>826298.439040156</c:v>
                </c:pt>
                <c:pt idx="131">
                  <c:v>819546.113511997</c:v>
                </c:pt>
                <c:pt idx="132">
                  <c:v>814287.462237281</c:v>
                </c:pt>
                <c:pt idx="133">
                  <c:v>808788.269136882</c:v>
                </c:pt>
                <c:pt idx="134">
                  <c:v>803046.598096856</c:v>
                </c:pt>
                <c:pt idx="135">
                  <c:v>797060.500706462</c:v>
                </c:pt>
                <c:pt idx="136">
                  <c:v>790828.01618668</c:v>
                </c:pt>
                <c:pt idx="137">
                  <c:v>784347.171318336</c:v>
                </c:pt>
                <c:pt idx="138">
                  <c:v>777615.980369821</c:v>
                </c:pt>
                <c:pt idx="139">
                  <c:v>770632.445024412</c:v>
                </c:pt>
                <c:pt idx="140">
                  <c:v>763394.554307178</c:v>
                </c:pt>
                <c:pt idx="141">
                  <c:v>755900.284511488</c:v>
                </c:pt>
                <c:pt idx="142">
                  <c:v>748147.599125103</c:v>
                </c:pt>
                <c:pt idx="143">
                  <c:v>740134.448755853</c:v>
                </c:pt>
                <c:pt idx="144">
                  <c:v>733666.891322791</c:v>
                </c:pt>
                <c:pt idx="145">
                  <c:v>726942.338820946</c:v>
                </c:pt>
                <c:pt idx="146">
                  <c:v>719958.734777303</c:v>
                </c:pt>
                <c:pt idx="147">
                  <c:v>712714.009672142</c:v>
                </c:pt>
                <c:pt idx="148">
                  <c:v>705206.080863191</c:v>
                </c:pt>
                <c:pt idx="149">
                  <c:v>697432.852509352</c:v>
                </c:pt>
                <c:pt idx="150">
                  <c:v>689392.215494001</c:v>
                </c:pt>
                <c:pt idx="151">
                  <c:v>681082.047347854</c:v>
                </c:pt>
                <c:pt idx="152">
                  <c:v>672500.212171412</c:v>
                </c:pt>
                <c:pt idx="153">
                  <c:v>663644.560556964</c:v>
                </c:pt>
                <c:pt idx="154">
                  <c:v>654512.929510158</c:v>
                </c:pt>
                <c:pt idx="155">
                  <c:v>645103.142371133</c:v>
                </c:pt>
                <c:pt idx="156">
                  <c:v>637292.36893957</c:v>
                </c:pt>
                <c:pt idx="157">
                  <c:v>629206.952160343</c:v>
                </c:pt>
                <c:pt idx="158">
                  <c:v>620844.707169611</c:v>
                </c:pt>
                <c:pt idx="159">
                  <c:v>612203.435258104</c:v>
                </c:pt>
                <c:pt idx="160">
                  <c:v>603280.92379062</c:v>
                </c:pt>
                <c:pt idx="161">
                  <c:v>594074.946125066</c:v>
                </c:pt>
                <c:pt idx="162">
                  <c:v>584583.261531052</c:v>
                </c:pt>
                <c:pt idx="163">
                  <c:v>574803.615108024</c:v>
                </c:pt>
                <c:pt idx="164">
                  <c:v>564733.737702942</c:v>
                </c:pt>
                <c:pt idx="165">
                  <c:v>554371.345827496</c:v>
                </c:pt>
                <c:pt idx="166">
                  <c:v>543714.141574864</c:v>
                </c:pt>
                <c:pt idx="167">
                  <c:v>532759.812535997</c:v>
                </c:pt>
                <c:pt idx="168">
                  <c:v>523459.438711854</c:v>
                </c:pt>
                <c:pt idx="169">
                  <c:v>513865.49036871</c:v>
                </c:pt>
                <c:pt idx="170">
                  <c:v>503975.6456649</c:v>
                </c:pt>
                <c:pt idx="171">
                  <c:v>493787.568062481</c:v>
                </c:pt>
                <c:pt idx="172">
                  <c:v>483298.90624177</c:v>
                </c:pt>
                <c:pt idx="173">
                  <c:v>472507.294015403</c:v>
                </c:pt>
                <c:pt idx="174">
                  <c:v>461410.350241909</c:v>
                </c:pt>
                <c:pt idx="175">
                  <c:v>450005.678738803</c:v>
                </c:pt>
                <c:pt idx="176">
                  <c:v>438290.868195192</c:v>
                </c:pt>
                <c:pt idx="177">
                  <c:v>426263.492083893</c:v>
                </c:pt>
                <c:pt idx="178">
                  <c:v>413921.108573059</c:v>
                </c:pt>
                <c:pt idx="179">
                  <c:v>401261.260437308</c:v>
                </c:pt>
                <c:pt idx="180">
                  <c:v>390327.288655032</c:v>
                </c:pt>
                <c:pt idx="181">
                  <c:v>379095.101796107</c:v>
                </c:pt>
                <c:pt idx="182">
                  <c:v>367562.459387375</c:v>
                </c:pt>
                <c:pt idx="183">
                  <c:v>355727.107570389</c:v>
                </c:pt>
                <c:pt idx="184">
                  <c:v>343586.779028746</c:v>
                </c:pt>
                <c:pt idx="185">
                  <c:v>331139.192915062</c:v>
                </c:pt>
                <c:pt idx="186">
                  <c:v>318382.054777554</c:v>
                </c:pt>
                <c:pt idx="187">
                  <c:v>305313.056486257</c:v>
                </c:pt>
                <c:pt idx="188">
                  <c:v>291929.876158848</c:v>
                </c:pt>
                <c:pt idx="189">
                  <c:v>278230.178086097</c:v>
                </c:pt>
                <c:pt idx="190">
                  <c:v>264211.61265693</c:v>
                </c:pt>
                <c:pt idx="191">
                  <c:v>249871.816283105</c:v>
                </c:pt>
                <c:pt idx="192">
                  <c:v>237318.779182112</c:v>
                </c:pt>
                <c:pt idx="193">
                  <c:v>224448.621064785</c:v>
                </c:pt>
                <c:pt idx="194">
                  <c:v>211258.973315227</c:v>
                </c:pt>
                <c:pt idx="195">
                  <c:v>197747.453192365</c:v>
                </c:pt>
                <c:pt idx="196">
                  <c:v>183911.663753331</c:v>
                </c:pt>
                <c:pt idx="197">
                  <c:v>169749.19377644</c:v>
                </c:pt>
                <c:pt idx="198">
                  <c:v>155257.617683776</c:v>
                </c:pt>
                <c:pt idx="199">
                  <c:v>140434.495463378</c:v>
                </c:pt>
                <c:pt idx="200">
                  <c:v>125277.37259102</c:v>
                </c:pt>
                <c:pt idx="201">
                  <c:v>109783.779951596</c:v>
                </c:pt>
                <c:pt idx="202">
                  <c:v>93951.2337600903</c:v>
                </c:pt>
                <c:pt idx="203">
                  <c:v>77777.2354821483</c:v>
                </c:pt>
                <c:pt idx="204">
                  <c:v>63452.7881064746</c:v>
                </c:pt>
                <c:pt idx="205">
                  <c:v>48791.0761933844</c:v>
                </c:pt>
                <c:pt idx="206">
                  <c:v>33789.595311456</c:v>
                </c:pt>
                <c:pt idx="207">
                  <c:v>18445.8261214665</c:v>
                </c:pt>
                <c:pt idx="208">
                  <c:v>2757.23429557907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329128"/>
        <c:axId val="59294951"/>
      </c:lineChart>
      <c:catAx>
        <c:axId val="883291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94951"/>
        <c:crosses val="autoZero"/>
        <c:auto val="1"/>
        <c:lblAlgn val="ctr"/>
        <c:lblOffset val="100"/>
        <c:noMultiLvlLbl val="0"/>
      </c:catAx>
      <c:valAx>
        <c:axId val="592949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Saldo (MXN)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291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Pensión mensual vs. Gasto total mensual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AMORTIZACION!J2</c:f>
              <c:strCache>
                <c:ptCount val="1"/>
                <c:pt idx="0">
                  <c:v>Pensión mensual</c:v>
                </c:pt>
              </c:strCache>
            </c:strRef>
          </c:tx>
          <c:spPr>
            <a:solidFill>
              <a:srgbClr val="16a34a"/>
            </a:solidFill>
            <a:ln w="20160">
              <a:solidFill>
                <a:srgbClr val="16a3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AMORTIZACION!$A$3:$A$362</c:f>
              <c:strCach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strCache>
            </c:strRef>
          </c:cat>
          <c:val>
            <c:numRef>
              <c:f>AMORTIZACION!$J$3:$J$362</c:f>
              <c:numCache>
                <c:formatCode>\$#,##0;"($"#,##0\);\-</c:formatCode>
                <c:ptCount val="360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  <c:pt idx="3">
                  <c:v>30000</c:v>
                </c:pt>
                <c:pt idx="4">
                  <c:v>30000</c:v>
                </c:pt>
                <c:pt idx="5">
                  <c:v>30000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31182</c:v>
                </c:pt>
                <c:pt idx="13">
                  <c:v>31182</c:v>
                </c:pt>
                <c:pt idx="14">
                  <c:v>31182</c:v>
                </c:pt>
                <c:pt idx="15">
                  <c:v>31182</c:v>
                </c:pt>
                <c:pt idx="16">
                  <c:v>31182</c:v>
                </c:pt>
                <c:pt idx="17">
                  <c:v>31182</c:v>
                </c:pt>
                <c:pt idx="18">
                  <c:v>31182</c:v>
                </c:pt>
                <c:pt idx="19">
                  <c:v>31182</c:v>
                </c:pt>
                <c:pt idx="20">
                  <c:v>31182</c:v>
                </c:pt>
                <c:pt idx="21">
                  <c:v>31182</c:v>
                </c:pt>
                <c:pt idx="22">
                  <c:v>31182</c:v>
                </c:pt>
                <c:pt idx="23">
                  <c:v>31182</c:v>
                </c:pt>
                <c:pt idx="24">
                  <c:v>32410.5708</c:v>
                </c:pt>
                <c:pt idx="25">
                  <c:v>32410.5708</c:v>
                </c:pt>
                <c:pt idx="26">
                  <c:v>32410.5708</c:v>
                </c:pt>
                <c:pt idx="27">
                  <c:v>32410.5708</c:v>
                </c:pt>
                <c:pt idx="28">
                  <c:v>32410.5708</c:v>
                </c:pt>
                <c:pt idx="29">
                  <c:v>32410.5708</c:v>
                </c:pt>
                <c:pt idx="30">
                  <c:v>32410.5708</c:v>
                </c:pt>
                <c:pt idx="31">
                  <c:v>32410.5708</c:v>
                </c:pt>
                <c:pt idx="32">
                  <c:v>32410.5708</c:v>
                </c:pt>
                <c:pt idx="33">
                  <c:v>32410.5708</c:v>
                </c:pt>
                <c:pt idx="34">
                  <c:v>32410.5708</c:v>
                </c:pt>
                <c:pt idx="35">
                  <c:v>32410.5708</c:v>
                </c:pt>
                <c:pt idx="36">
                  <c:v>33687.54728952</c:v>
                </c:pt>
                <c:pt idx="37">
                  <c:v>33687.54728952</c:v>
                </c:pt>
                <c:pt idx="38">
                  <c:v>33687.54728952</c:v>
                </c:pt>
                <c:pt idx="39">
                  <c:v>33687.54728952</c:v>
                </c:pt>
                <c:pt idx="40">
                  <c:v>33687.54728952</c:v>
                </c:pt>
                <c:pt idx="41">
                  <c:v>33687.54728952</c:v>
                </c:pt>
                <c:pt idx="42">
                  <c:v>33687.54728952</c:v>
                </c:pt>
                <c:pt idx="43">
                  <c:v>33687.54728952</c:v>
                </c:pt>
                <c:pt idx="44">
                  <c:v>33687.54728952</c:v>
                </c:pt>
                <c:pt idx="45">
                  <c:v>33687.54728952</c:v>
                </c:pt>
                <c:pt idx="46">
                  <c:v>33687.54728952</c:v>
                </c:pt>
                <c:pt idx="47">
                  <c:v>33687.54728952</c:v>
                </c:pt>
                <c:pt idx="48">
                  <c:v>35014.8366527271</c:v>
                </c:pt>
                <c:pt idx="49">
                  <c:v>35014.8366527271</c:v>
                </c:pt>
                <c:pt idx="50">
                  <c:v>35014.8366527271</c:v>
                </c:pt>
                <c:pt idx="51">
                  <c:v>35014.8366527271</c:v>
                </c:pt>
                <c:pt idx="52">
                  <c:v>35014.8366527271</c:v>
                </c:pt>
                <c:pt idx="53">
                  <c:v>35014.8366527271</c:v>
                </c:pt>
                <c:pt idx="54">
                  <c:v>35014.8366527271</c:v>
                </c:pt>
                <c:pt idx="55">
                  <c:v>35014.8366527271</c:v>
                </c:pt>
                <c:pt idx="56">
                  <c:v>35014.8366527271</c:v>
                </c:pt>
                <c:pt idx="57">
                  <c:v>35014.8366527271</c:v>
                </c:pt>
                <c:pt idx="58">
                  <c:v>35014.8366527271</c:v>
                </c:pt>
                <c:pt idx="59">
                  <c:v>35014.8366527271</c:v>
                </c:pt>
                <c:pt idx="60">
                  <c:v>36394.4212168446</c:v>
                </c:pt>
                <c:pt idx="61">
                  <c:v>36394.4212168446</c:v>
                </c:pt>
                <c:pt idx="62">
                  <c:v>36394.4212168446</c:v>
                </c:pt>
                <c:pt idx="63">
                  <c:v>36394.4212168446</c:v>
                </c:pt>
                <c:pt idx="64">
                  <c:v>36394.4212168446</c:v>
                </c:pt>
                <c:pt idx="65">
                  <c:v>36394.4212168446</c:v>
                </c:pt>
                <c:pt idx="66">
                  <c:v>36394.4212168446</c:v>
                </c:pt>
                <c:pt idx="67">
                  <c:v>36394.4212168446</c:v>
                </c:pt>
                <c:pt idx="68">
                  <c:v>36394.4212168446</c:v>
                </c:pt>
                <c:pt idx="69">
                  <c:v>36394.4212168446</c:v>
                </c:pt>
                <c:pt idx="70">
                  <c:v>36394.4212168446</c:v>
                </c:pt>
                <c:pt idx="71">
                  <c:v>36394.4212168446</c:v>
                </c:pt>
                <c:pt idx="72">
                  <c:v>37828.3614127882</c:v>
                </c:pt>
                <c:pt idx="73">
                  <c:v>37828.3614127882</c:v>
                </c:pt>
                <c:pt idx="74">
                  <c:v>37828.3614127882</c:v>
                </c:pt>
                <c:pt idx="75">
                  <c:v>37828.3614127882</c:v>
                </c:pt>
                <c:pt idx="76">
                  <c:v>37828.3614127882</c:v>
                </c:pt>
                <c:pt idx="77">
                  <c:v>37828.3614127882</c:v>
                </c:pt>
                <c:pt idx="78">
                  <c:v>37828.3614127882</c:v>
                </c:pt>
                <c:pt idx="79">
                  <c:v>37828.3614127882</c:v>
                </c:pt>
                <c:pt idx="80">
                  <c:v>37828.3614127882</c:v>
                </c:pt>
                <c:pt idx="81">
                  <c:v>37828.3614127882</c:v>
                </c:pt>
                <c:pt idx="82">
                  <c:v>37828.3614127882</c:v>
                </c:pt>
                <c:pt idx="83">
                  <c:v>37828.3614127882</c:v>
                </c:pt>
                <c:pt idx="84">
                  <c:v>39318.7988524521</c:v>
                </c:pt>
                <c:pt idx="85">
                  <c:v>39318.7988524521</c:v>
                </c:pt>
                <c:pt idx="86">
                  <c:v>39318.7988524521</c:v>
                </c:pt>
                <c:pt idx="87">
                  <c:v>39318.7988524521</c:v>
                </c:pt>
                <c:pt idx="88">
                  <c:v>39318.7988524521</c:v>
                </c:pt>
                <c:pt idx="89">
                  <c:v>39318.7988524521</c:v>
                </c:pt>
                <c:pt idx="90">
                  <c:v>39318.7988524521</c:v>
                </c:pt>
                <c:pt idx="91">
                  <c:v>39318.7988524521</c:v>
                </c:pt>
                <c:pt idx="92">
                  <c:v>39318.7988524521</c:v>
                </c:pt>
                <c:pt idx="93">
                  <c:v>39318.7988524521</c:v>
                </c:pt>
                <c:pt idx="94">
                  <c:v>39318.7988524521</c:v>
                </c:pt>
                <c:pt idx="95">
                  <c:v>39318.7988524521</c:v>
                </c:pt>
                <c:pt idx="96">
                  <c:v>40867.9595272387</c:v>
                </c:pt>
                <c:pt idx="97">
                  <c:v>40867.9595272387</c:v>
                </c:pt>
                <c:pt idx="98">
                  <c:v>40867.9595272387</c:v>
                </c:pt>
                <c:pt idx="99">
                  <c:v>40867.9595272387</c:v>
                </c:pt>
                <c:pt idx="100">
                  <c:v>40867.9595272387</c:v>
                </c:pt>
                <c:pt idx="101">
                  <c:v>40867.9595272387</c:v>
                </c:pt>
                <c:pt idx="102">
                  <c:v>40867.9595272387</c:v>
                </c:pt>
                <c:pt idx="103">
                  <c:v>40867.9595272387</c:v>
                </c:pt>
                <c:pt idx="104">
                  <c:v>40867.9595272387</c:v>
                </c:pt>
                <c:pt idx="105">
                  <c:v>40867.9595272387</c:v>
                </c:pt>
                <c:pt idx="106">
                  <c:v>40867.9595272387</c:v>
                </c:pt>
                <c:pt idx="107">
                  <c:v>40867.9595272387</c:v>
                </c:pt>
                <c:pt idx="108">
                  <c:v>42478.1571326119</c:v>
                </c:pt>
                <c:pt idx="109">
                  <c:v>42478.1571326119</c:v>
                </c:pt>
                <c:pt idx="110">
                  <c:v>42478.1571326119</c:v>
                </c:pt>
                <c:pt idx="111">
                  <c:v>42478.1571326119</c:v>
                </c:pt>
                <c:pt idx="112">
                  <c:v>42478.1571326119</c:v>
                </c:pt>
                <c:pt idx="113">
                  <c:v>42478.1571326119</c:v>
                </c:pt>
                <c:pt idx="114">
                  <c:v>42478.1571326119</c:v>
                </c:pt>
                <c:pt idx="115">
                  <c:v>42478.1571326119</c:v>
                </c:pt>
                <c:pt idx="116">
                  <c:v>42478.1571326119</c:v>
                </c:pt>
                <c:pt idx="117">
                  <c:v>42478.1571326119</c:v>
                </c:pt>
                <c:pt idx="118">
                  <c:v>42478.1571326119</c:v>
                </c:pt>
                <c:pt idx="119">
                  <c:v>42478.1571326119</c:v>
                </c:pt>
                <c:pt idx="120">
                  <c:v>44151.7965236368</c:v>
                </c:pt>
                <c:pt idx="121">
                  <c:v>44151.7965236368</c:v>
                </c:pt>
                <c:pt idx="122">
                  <c:v>44151.7965236368</c:v>
                </c:pt>
                <c:pt idx="123">
                  <c:v>44151.7965236368</c:v>
                </c:pt>
                <c:pt idx="124">
                  <c:v>44151.7965236368</c:v>
                </c:pt>
                <c:pt idx="125">
                  <c:v>44151.7965236368</c:v>
                </c:pt>
                <c:pt idx="126">
                  <c:v>44151.7965236368</c:v>
                </c:pt>
                <c:pt idx="127">
                  <c:v>44151.7965236368</c:v>
                </c:pt>
                <c:pt idx="128">
                  <c:v>44151.7965236368</c:v>
                </c:pt>
                <c:pt idx="129">
                  <c:v>44151.7965236368</c:v>
                </c:pt>
                <c:pt idx="130">
                  <c:v>44151.7965236368</c:v>
                </c:pt>
                <c:pt idx="131">
                  <c:v>44151.7965236368</c:v>
                </c:pt>
                <c:pt idx="132">
                  <c:v>45891.3773066681</c:v>
                </c:pt>
                <c:pt idx="133">
                  <c:v>45891.3773066681</c:v>
                </c:pt>
                <c:pt idx="134">
                  <c:v>45891.3773066681</c:v>
                </c:pt>
                <c:pt idx="135">
                  <c:v>45891.3773066681</c:v>
                </c:pt>
                <c:pt idx="136">
                  <c:v>45891.3773066681</c:v>
                </c:pt>
                <c:pt idx="137">
                  <c:v>45891.3773066681</c:v>
                </c:pt>
                <c:pt idx="138">
                  <c:v>45891.3773066681</c:v>
                </c:pt>
                <c:pt idx="139">
                  <c:v>45891.3773066681</c:v>
                </c:pt>
                <c:pt idx="140">
                  <c:v>45891.3773066681</c:v>
                </c:pt>
                <c:pt idx="141">
                  <c:v>45891.3773066681</c:v>
                </c:pt>
                <c:pt idx="142">
                  <c:v>45891.3773066681</c:v>
                </c:pt>
                <c:pt idx="143">
                  <c:v>45891.3773066681</c:v>
                </c:pt>
                <c:pt idx="144">
                  <c:v>47699.4975725509</c:v>
                </c:pt>
                <c:pt idx="145">
                  <c:v>47699.4975725509</c:v>
                </c:pt>
                <c:pt idx="146">
                  <c:v>47699.4975725509</c:v>
                </c:pt>
                <c:pt idx="147">
                  <c:v>47699.4975725509</c:v>
                </c:pt>
                <c:pt idx="148">
                  <c:v>47699.4975725509</c:v>
                </c:pt>
                <c:pt idx="149">
                  <c:v>47699.4975725509</c:v>
                </c:pt>
                <c:pt idx="150">
                  <c:v>47699.4975725509</c:v>
                </c:pt>
                <c:pt idx="151">
                  <c:v>47699.4975725509</c:v>
                </c:pt>
                <c:pt idx="152">
                  <c:v>47699.4975725509</c:v>
                </c:pt>
                <c:pt idx="153">
                  <c:v>47699.4975725509</c:v>
                </c:pt>
                <c:pt idx="154">
                  <c:v>47699.4975725509</c:v>
                </c:pt>
                <c:pt idx="155">
                  <c:v>47699.4975725509</c:v>
                </c:pt>
                <c:pt idx="156">
                  <c:v>49578.8577769094</c:v>
                </c:pt>
                <c:pt idx="157">
                  <c:v>49578.8577769094</c:v>
                </c:pt>
                <c:pt idx="158">
                  <c:v>49578.8577769094</c:v>
                </c:pt>
                <c:pt idx="159">
                  <c:v>49578.8577769094</c:v>
                </c:pt>
                <c:pt idx="160">
                  <c:v>49578.8577769094</c:v>
                </c:pt>
                <c:pt idx="161">
                  <c:v>49578.8577769094</c:v>
                </c:pt>
                <c:pt idx="162">
                  <c:v>49578.8577769094</c:v>
                </c:pt>
                <c:pt idx="163">
                  <c:v>49578.8577769094</c:v>
                </c:pt>
                <c:pt idx="164">
                  <c:v>49578.8577769094</c:v>
                </c:pt>
                <c:pt idx="165">
                  <c:v>49578.8577769094</c:v>
                </c:pt>
                <c:pt idx="166">
                  <c:v>49578.8577769094</c:v>
                </c:pt>
                <c:pt idx="167">
                  <c:v>49578.8577769094</c:v>
                </c:pt>
                <c:pt idx="168">
                  <c:v>51532.2647733196</c:v>
                </c:pt>
                <c:pt idx="169">
                  <c:v>51532.2647733196</c:v>
                </c:pt>
                <c:pt idx="170">
                  <c:v>51532.2647733196</c:v>
                </c:pt>
                <c:pt idx="171">
                  <c:v>51532.2647733196</c:v>
                </c:pt>
                <c:pt idx="172">
                  <c:v>51532.2647733196</c:v>
                </c:pt>
                <c:pt idx="173">
                  <c:v>51532.2647733196</c:v>
                </c:pt>
                <c:pt idx="174">
                  <c:v>51532.2647733196</c:v>
                </c:pt>
                <c:pt idx="175">
                  <c:v>51532.2647733196</c:v>
                </c:pt>
                <c:pt idx="176">
                  <c:v>51532.2647733196</c:v>
                </c:pt>
                <c:pt idx="177">
                  <c:v>51532.2647733196</c:v>
                </c:pt>
                <c:pt idx="178">
                  <c:v>51532.2647733196</c:v>
                </c:pt>
                <c:pt idx="179">
                  <c:v>51532.2647733196</c:v>
                </c:pt>
                <c:pt idx="180">
                  <c:v>53562.6360053884</c:v>
                </c:pt>
                <c:pt idx="181">
                  <c:v>53562.6360053884</c:v>
                </c:pt>
                <c:pt idx="182">
                  <c:v>53562.6360053884</c:v>
                </c:pt>
                <c:pt idx="183">
                  <c:v>53562.6360053884</c:v>
                </c:pt>
                <c:pt idx="184">
                  <c:v>53562.6360053884</c:v>
                </c:pt>
                <c:pt idx="185">
                  <c:v>53562.6360053884</c:v>
                </c:pt>
                <c:pt idx="186">
                  <c:v>53562.6360053884</c:v>
                </c:pt>
                <c:pt idx="187">
                  <c:v>53562.6360053884</c:v>
                </c:pt>
                <c:pt idx="188">
                  <c:v>53562.6360053884</c:v>
                </c:pt>
                <c:pt idx="189">
                  <c:v>53562.6360053884</c:v>
                </c:pt>
                <c:pt idx="190">
                  <c:v>53562.6360053884</c:v>
                </c:pt>
                <c:pt idx="191">
                  <c:v>53562.6360053884</c:v>
                </c:pt>
                <c:pt idx="192">
                  <c:v>55673.0038640007</c:v>
                </c:pt>
                <c:pt idx="193">
                  <c:v>55673.0038640007</c:v>
                </c:pt>
                <c:pt idx="194">
                  <c:v>55673.0038640007</c:v>
                </c:pt>
                <c:pt idx="195">
                  <c:v>55673.0038640007</c:v>
                </c:pt>
                <c:pt idx="196">
                  <c:v>55673.0038640007</c:v>
                </c:pt>
                <c:pt idx="197">
                  <c:v>55673.0038640007</c:v>
                </c:pt>
                <c:pt idx="198">
                  <c:v>55673.0038640007</c:v>
                </c:pt>
                <c:pt idx="199">
                  <c:v>55673.0038640007</c:v>
                </c:pt>
                <c:pt idx="200">
                  <c:v>55673.0038640007</c:v>
                </c:pt>
                <c:pt idx="201">
                  <c:v>55673.0038640007</c:v>
                </c:pt>
                <c:pt idx="202">
                  <c:v>55673.0038640007</c:v>
                </c:pt>
                <c:pt idx="203">
                  <c:v>55673.0038640007</c:v>
                </c:pt>
                <c:pt idx="204">
                  <c:v>57866.5202162423</c:v>
                </c:pt>
                <c:pt idx="205">
                  <c:v>57866.5202162423</c:v>
                </c:pt>
                <c:pt idx="206">
                  <c:v>57866.5202162423</c:v>
                </c:pt>
                <c:pt idx="207">
                  <c:v>57866.5202162423</c:v>
                </c:pt>
                <c:pt idx="208">
                  <c:v>57866.5202162423</c:v>
                </c:pt>
                <c:pt idx="209">
                  <c:v>57866.5202162423</c:v>
                </c:pt>
                <c:pt idx="210">
                  <c:v>57866.5202162423</c:v>
                </c:pt>
                <c:pt idx="211">
                  <c:v>57866.5202162423</c:v>
                </c:pt>
                <c:pt idx="212">
                  <c:v>57866.5202162423</c:v>
                </c:pt>
                <c:pt idx="213">
                  <c:v>57866.5202162423</c:v>
                </c:pt>
                <c:pt idx="214">
                  <c:v>57866.5202162423</c:v>
                </c:pt>
                <c:pt idx="215">
                  <c:v>57866.5202162423</c:v>
                </c:pt>
                <c:pt idx="216">
                  <c:v>60146.4611127623</c:v>
                </c:pt>
                <c:pt idx="217">
                  <c:v>60146.4611127623</c:v>
                </c:pt>
                <c:pt idx="218">
                  <c:v>60146.4611127623</c:v>
                </c:pt>
                <c:pt idx="219">
                  <c:v>60146.4611127623</c:v>
                </c:pt>
                <c:pt idx="220">
                  <c:v>60146.4611127623</c:v>
                </c:pt>
                <c:pt idx="221">
                  <c:v>60146.4611127623</c:v>
                </c:pt>
                <c:pt idx="222">
                  <c:v>60146.4611127623</c:v>
                </c:pt>
                <c:pt idx="223">
                  <c:v>60146.4611127623</c:v>
                </c:pt>
                <c:pt idx="224">
                  <c:v>60146.4611127623</c:v>
                </c:pt>
                <c:pt idx="225">
                  <c:v>60146.4611127623</c:v>
                </c:pt>
                <c:pt idx="226">
                  <c:v>60146.4611127623</c:v>
                </c:pt>
                <c:pt idx="227">
                  <c:v>60146.4611127623</c:v>
                </c:pt>
                <c:pt idx="228">
                  <c:v>62516.2316806051</c:v>
                </c:pt>
                <c:pt idx="229">
                  <c:v>62516.2316806051</c:v>
                </c:pt>
                <c:pt idx="230">
                  <c:v>62516.2316806051</c:v>
                </c:pt>
                <c:pt idx="231">
                  <c:v>62516.2316806051</c:v>
                </c:pt>
                <c:pt idx="232">
                  <c:v>62516.2316806051</c:v>
                </c:pt>
                <c:pt idx="233">
                  <c:v>62516.2316806051</c:v>
                </c:pt>
                <c:pt idx="234">
                  <c:v>62516.2316806051</c:v>
                </c:pt>
                <c:pt idx="235">
                  <c:v>62516.2316806051</c:v>
                </c:pt>
                <c:pt idx="236">
                  <c:v>62516.2316806051</c:v>
                </c:pt>
                <c:pt idx="237">
                  <c:v>62516.2316806051</c:v>
                </c:pt>
                <c:pt idx="238">
                  <c:v>62516.2316806051</c:v>
                </c:pt>
                <c:pt idx="239">
                  <c:v>62516.2316806051</c:v>
                </c:pt>
                <c:pt idx="240">
                  <c:v>64979.371208821</c:v>
                </c:pt>
                <c:pt idx="241">
                  <c:v>64979.371208821</c:v>
                </c:pt>
                <c:pt idx="242">
                  <c:v>64979.371208821</c:v>
                </c:pt>
                <c:pt idx="243">
                  <c:v>64979.371208821</c:v>
                </c:pt>
                <c:pt idx="244">
                  <c:v>64979.371208821</c:v>
                </c:pt>
                <c:pt idx="245">
                  <c:v>64979.371208821</c:v>
                </c:pt>
                <c:pt idx="246">
                  <c:v>64979.371208821</c:v>
                </c:pt>
                <c:pt idx="247">
                  <c:v>64979.371208821</c:v>
                </c:pt>
                <c:pt idx="248">
                  <c:v>64979.371208821</c:v>
                </c:pt>
                <c:pt idx="249">
                  <c:v>64979.371208821</c:v>
                </c:pt>
                <c:pt idx="250">
                  <c:v>64979.371208821</c:v>
                </c:pt>
                <c:pt idx="251">
                  <c:v>64979.371208821</c:v>
                </c:pt>
                <c:pt idx="252">
                  <c:v>67539.5584344485</c:v>
                </c:pt>
                <c:pt idx="253">
                  <c:v>67539.5584344485</c:v>
                </c:pt>
                <c:pt idx="254">
                  <c:v>67539.5584344485</c:v>
                </c:pt>
                <c:pt idx="255">
                  <c:v>67539.5584344485</c:v>
                </c:pt>
                <c:pt idx="256">
                  <c:v>67539.5584344485</c:v>
                </c:pt>
                <c:pt idx="257">
                  <c:v>67539.5584344485</c:v>
                </c:pt>
                <c:pt idx="258">
                  <c:v>67539.5584344485</c:v>
                </c:pt>
                <c:pt idx="259">
                  <c:v>67539.5584344485</c:v>
                </c:pt>
                <c:pt idx="260">
                  <c:v>67539.5584344485</c:v>
                </c:pt>
                <c:pt idx="261">
                  <c:v>67539.5584344485</c:v>
                </c:pt>
                <c:pt idx="262">
                  <c:v>67539.5584344485</c:v>
                </c:pt>
                <c:pt idx="263">
                  <c:v>67539.5584344485</c:v>
                </c:pt>
                <c:pt idx="264">
                  <c:v>70200.6170367658</c:v>
                </c:pt>
                <c:pt idx="265">
                  <c:v>70200.6170367658</c:v>
                </c:pt>
                <c:pt idx="266">
                  <c:v>70200.6170367658</c:v>
                </c:pt>
                <c:pt idx="267">
                  <c:v>70200.6170367658</c:v>
                </c:pt>
                <c:pt idx="268">
                  <c:v>70200.6170367658</c:v>
                </c:pt>
                <c:pt idx="269">
                  <c:v>70200.6170367658</c:v>
                </c:pt>
                <c:pt idx="270">
                  <c:v>70200.6170367658</c:v>
                </c:pt>
                <c:pt idx="271">
                  <c:v>70200.6170367658</c:v>
                </c:pt>
                <c:pt idx="272">
                  <c:v>70200.6170367658</c:v>
                </c:pt>
                <c:pt idx="273">
                  <c:v>70200.6170367658</c:v>
                </c:pt>
                <c:pt idx="274">
                  <c:v>70200.6170367658</c:v>
                </c:pt>
                <c:pt idx="275">
                  <c:v>70200.6170367658</c:v>
                </c:pt>
                <c:pt idx="276">
                  <c:v>72966.5213480144</c:v>
                </c:pt>
                <c:pt idx="277">
                  <c:v>72966.5213480144</c:v>
                </c:pt>
                <c:pt idx="278">
                  <c:v>72966.5213480144</c:v>
                </c:pt>
                <c:pt idx="279">
                  <c:v>72966.5213480144</c:v>
                </c:pt>
                <c:pt idx="280">
                  <c:v>72966.5213480144</c:v>
                </c:pt>
                <c:pt idx="281">
                  <c:v>72966.5213480144</c:v>
                </c:pt>
                <c:pt idx="282">
                  <c:v>72966.5213480144</c:v>
                </c:pt>
                <c:pt idx="283">
                  <c:v>72966.5213480144</c:v>
                </c:pt>
                <c:pt idx="284">
                  <c:v>72966.5213480144</c:v>
                </c:pt>
                <c:pt idx="285">
                  <c:v>72966.5213480144</c:v>
                </c:pt>
                <c:pt idx="286">
                  <c:v>72966.5213480144</c:v>
                </c:pt>
                <c:pt idx="287">
                  <c:v>72966.5213480144</c:v>
                </c:pt>
                <c:pt idx="288">
                  <c:v>75841.4022891262</c:v>
                </c:pt>
                <c:pt idx="289">
                  <c:v>75841.4022891262</c:v>
                </c:pt>
                <c:pt idx="290">
                  <c:v>75841.4022891262</c:v>
                </c:pt>
                <c:pt idx="291">
                  <c:v>75841.4022891262</c:v>
                </c:pt>
                <c:pt idx="292">
                  <c:v>75841.4022891262</c:v>
                </c:pt>
                <c:pt idx="293">
                  <c:v>75841.4022891262</c:v>
                </c:pt>
                <c:pt idx="294">
                  <c:v>75841.4022891262</c:v>
                </c:pt>
                <c:pt idx="295">
                  <c:v>75841.4022891262</c:v>
                </c:pt>
                <c:pt idx="296">
                  <c:v>75841.4022891262</c:v>
                </c:pt>
                <c:pt idx="297">
                  <c:v>75841.4022891262</c:v>
                </c:pt>
                <c:pt idx="298">
                  <c:v>75841.4022891262</c:v>
                </c:pt>
                <c:pt idx="299">
                  <c:v>75841.4022891262</c:v>
                </c:pt>
                <c:pt idx="300">
                  <c:v>78829.5535393178</c:v>
                </c:pt>
                <c:pt idx="301">
                  <c:v>78829.5535393178</c:v>
                </c:pt>
                <c:pt idx="302">
                  <c:v>78829.5535393178</c:v>
                </c:pt>
                <c:pt idx="303">
                  <c:v>78829.5535393178</c:v>
                </c:pt>
                <c:pt idx="304">
                  <c:v>78829.5535393178</c:v>
                </c:pt>
                <c:pt idx="305">
                  <c:v>78829.5535393178</c:v>
                </c:pt>
                <c:pt idx="306">
                  <c:v>78829.5535393178</c:v>
                </c:pt>
                <c:pt idx="307">
                  <c:v>78829.5535393178</c:v>
                </c:pt>
                <c:pt idx="308">
                  <c:v>78829.5535393178</c:v>
                </c:pt>
                <c:pt idx="309">
                  <c:v>78829.5535393178</c:v>
                </c:pt>
                <c:pt idx="310">
                  <c:v>78829.5535393178</c:v>
                </c:pt>
                <c:pt idx="311">
                  <c:v>78829.5535393178</c:v>
                </c:pt>
                <c:pt idx="312">
                  <c:v>81935.4379487669</c:v>
                </c:pt>
                <c:pt idx="313">
                  <c:v>81935.4379487669</c:v>
                </c:pt>
                <c:pt idx="314">
                  <c:v>81935.4379487669</c:v>
                </c:pt>
                <c:pt idx="315">
                  <c:v>81935.4379487669</c:v>
                </c:pt>
                <c:pt idx="316">
                  <c:v>81935.4379487669</c:v>
                </c:pt>
                <c:pt idx="317">
                  <c:v>81935.4379487669</c:v>
                </c:pt>
                <c:pt idx="318">
                  <c:v>81935.4379487669</c:v>
                </c:pt>
                <c:pt idx="319">
                  <c:v>81935.4379487669</c:v>
                </c:pt>
                <c:pt idx="320">
                  <c:v>81935.4379487669</c:v>
                </c:pt>
                <c:pt idx="321">
                  <c:v>81935.4379487669</c:v>
                </c:pt>
                <c:pt idx="322">
                  <c:v>81935.4379487669</c:v>
                </c:pt>
                <c:pt idx="323">
                  <c:v>81935.4379487669</c:v>
                </c:pt>
                <c:pt idx="324">
                  <c:v>85163.6942039483</c:v>
                </c:pt>
                <c:pt idx="325">
                  <c:v>85163.6942039483</c:v>
                </c:pt>
                <c:pt idx="326">
                  <c:v>85163.6942039483</c:v>
                </c:pt>
                <c:pt idx="327">
                  <c:v>85163.6942039483</c:v>
                </c:pt>
                <c:pt idx="328">
                  <c:v>85163.6942039483</c:v>
                </c:pt>
                <c:pt idx="329">
                  <c:v>85163.6942039483</c:v>
                </c:pt>
                <c:pt idx="330">
                  <c:v>85163.6942039483</c:v>
                </c:pt>
                <c:pt idx="331">
                  <c:v>85163.6942039483</c:v>
                </c:pt>
                <c:pt idx="332">
                  <c:v>85163.6942039483</c:v>
                </c:pt>
                <c:pt idx="333">
                  <c:v>85163.6942039483</c:v>
                </c:pt>
                <c:pt idx="334">
                  <c:v>85163.6942039483</c:v>
                </c:pt>
                <c:pt idx="335">
                  <c:v>85163.6942039483</c:v>
                </c:pt>
                <c:pt idx="336">
                  <c:v>88519.1437555839</c:v>
                </c:pt>
                <c:pt idx="337">
                  <c:v>88519.1437555839</c:v>
                </c:pt>
                <c:pt idx="338">
                  <c:v>88519.1437555839</c:v>
                </c:pt>
                <c:pt idx="339">
                  <c:v>88519.1437555839</c:v>
                </c:pt>
                <c:pt idx="340">
                  <c:v>88519.1437555839</c:v>
                </c:pt>
                <c:pt idx="341">
                  <c:v>88519.1437555839</c:v>
                </c:pt>
                <c:pt idx="342">
                  <c:v>88519.1437555839</c:v>
                </c:pt>
                <c:pt idx="343">
                  <c:v>88519.1437555839</c:v>
                </c:pt>
                <c:pt idx="344">
                  <c:v>88519.1437555839</c:v>
                </c:pt>
                <c:pt idx="345">
                  <c:v>88519.1437555839</c:v>
                </c:pt>
                <c:pt idx="346">
                  <c:v>88519.1437555839</c:v>
                </c:pt>
                <c:pt idx="347">
                  <c:v>88519.1437555839</c:v>
                </c:pt>
                <c:pt idx="348">
                  <c:v>92006.7980195539</c:v>
                </c:pt>
                <c:pt idx="349">
                  <c:v>92006.7980195539</c:v>
                </c:pt>
                <c:pt idx="350">
                  <c:v>92006.7980195539</c:v>
                </c:pt>
                <c:pt idx="351">
                  <c:v>92006.7980195539</c:v>
                </c:pt>
                <c:pt idx="352">
                  <c:v>92006.7980195539</c:v>
                </c:pt>
                <c:pt idx="353">
                  <c:v>92006.7980195539</c:v>
                </c:pt>
                <c:pt idx="354">
                  <c:v>92006.7980195539</c:v>
                </c:pt>
                <c:pt idx="355">
                  <c:v>92006.7980195539</c:v>
                </c:pt>
                <c:pt idx="356">
                  <c:v>92006.7980195539</c:v>
                </c:pt>
                <c:pt idx="357">
                  <c:v>92006.7980195539</c:v>
                </c:pt>
                <c:pt idx="358">
                  <c:v>92006.7980195539</c:v>
                </c:pt>
                <c:pt idx="359">
                  <c:v>92006.7980195539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AMORTIZACION!N2</c:f>
              <c:strCache>
                <c:ptCount val="1"/>
                <c:pt idx="0">
                  <c:v>Gasto total</c:v>
                </c:pt>
              </c:strCache>
            </c:strRef>
          </c:tx>
          <c:spPr>
            <a:solidFill>
              <a:srgbClr val="dc2626"/>
            </a:solidFill>
            <a:ln w="20160">
              <a:solidFill>
                <a:srgbClr val="dc262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AMORTIZACION!$A$3:$A$362</c:f>
              <c:strCach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strCache>
            </c:strRef>
          </c:cat>
          <c:val>
            <c:numRef>
              <c:f>AMORTIZACION!$N$3:$N$362</c:f>
              <c:numCache>
                <c:formatCode>\$#,##0;"($"#,##0\);\-</c:formatCode>
                <c:ptCount val="360"/>
                <c:pt idx="0">
                  <c:v>32000</c:v>
                </c:pt>
                <c:pt idx="1">
                  <c:v>32128.8188945911</c:v>
                </c:pt>
                <c:pt idx="2">
                  <c:v>32258.2023240845</c:v>
                </c:pt>
                <c:pt idx="3">
                  <c:v>32388.1530137489</c:v>
                </c:pt>
                <c:pt idx="4">
                  <c:v>32518.6737032709</c:v>
                </c:pt>
                <c:pt idx="5">
                  <c:v>32649.767146837</c:v>
                </c:pt>
                <c:pt idx="6">
                  <c:v>32781.4361132158</c:v>
                </c:pt>
                <c:pt idx="7">
                  <c:v>32913.6833858413</c:v>
                </c:pt>
                <c:pt idx="8">
                  <c:v>33046.5117628965</c:v>
                </c:pt>
                <c:pt idx="9">
                  <c:v>33179.9240573971</c:v>
                </c:pt>
                <c:pt idx="10">
                  <c:v>33313.9230972762</c:v>
                </c:pt>
                <c:pt idx="11">
                  <c:v>33448.5117254694</c:v>
                </c:pt>
                <c:pt idx="12">
                  <c:v>33583.6928</c:v>
                </c:pt>
                <c:pt idx="13">
                  <c:v>33719.4691940654</c:v>
                </c:pt>
                <c:pt idx="14">
                  <c:v>33855.8437961236</c:v>
                </c:pt>
                <c:pt idx="15">
                  <c:v>33992.8195099798</c:v>
                </c:pt>
                <c:pt idx="16">
                  <c:v>34130.3992548748</c:v>
                </c:pt>
                <c:pt idx="17">
                  <c:v>34268.5859655723</c:v>
                </c:pt>
                <c:pt idx="18">
                  <c:v>34407.3825924483</c:v>
                </c:pt>
                <c:pt idx="19">
                  <c:v>34546.7921015796</c:v>
                </c:pt>
                <c:pt idx="20">
                  <c:v>34686.817474834</c:v>
                </c:pt>
                <c:pt idx="21">
                  <c:v>34827.4617099604</c:v>
                </c:pt>
                <c:pt idx="22">
                  <c:v>34968.7278206793</c:v>
                </c:pt>
                <c:pt idx="23">
                  <c:v>35110.6188367747</c:v>
                </c:pt>
                <c:pt idx="24">
                  <c:v>35253.1378041856</c:v>
                </c:pt>
                <c:pt idx="25">
                  <c:v>35396.2877850985</c:v>
                </c:pt>
                <c:pt idx="26">
                  <c:v>35540.0718580403</c:v>
                </c:pt>
                <c:pt idx="27">
                  <c:v>35684.4931179723</c:v>
                </c:pt>
                <c:pt idx="28">
                  <c:v>35829.5546763835</c:v>
                </c:pt>
                <c:pt idx="29">
                  <c:v>35975.2596613862</c:v>
                </c:pt>
                <c:pt idx="30">
                  <c:v>36121.6112178105</c:v>
                </c:pt>
                <c:pt idx="31">
                  <c:v>36268.6125073006</c:v>
                </c:pt>
                <c:pt idx="32">
                  <c:v>36416.2667084109</c:v>
                </c:pt>
                <c:pt idx="33">
                  <c:v>36564.5770167032</c:v>
                </c:pt>
                <c:pt idx="34">
                  <c:v>36713.546644844</c:v>
                </c:pt>
                <c:pt idx="35">
                  <c:v>36863.1788227029</c:v>
                </c:pt>
                <c:pt idx="36">
                  <c:v>37013.476797451</c:v>
                </c:pt>
                <c:pt idx="37">
                  <c:v>37164.4438336608</c:v>
                </c:pt>
                <c:pt idx="38">
                  <c:v>37316.0832134055</c:v>
                </c:pt>
                <c:pt idx="39">
                  <c:v>37468.3982363599</c:v>
                </c:pt>
                <c:pt idx="40">
                  <c:v>37621.3922199013</c:v>
                </c:pt>
                <c:pt idx="41">
                  <c:v>37775.0684992114</c:v>
                </c:pt>
                <c:pt idx="42">
                  <c:v>37929.4304273788</c:v>
                </c:pt>
                <c:pt idx="43">
                  <c:v>38084.4813755016</c:v>
                </c:pt>
                <c:pt idx="44">
                  <c:v>38240.2247327912</c:v>
                </c:pt>
                <c:pt idx="45">
                  <c:v>38396.6639066764</c:v>
                </c:pt>
                <c:pt idx="46">
                  <c:v>38553.8023229085</c:v>
                </c:pt>
                <c:pt idx="47">
                  <c:v>38711.6434256664</c:v>
                </c:pt>
                <c:pt idx="48">
                  <c:v>38870.190677663</c:v>
                </c:pt>
                <c:pt idx="49">
                  <c:v>39029.4475602519</c:v>
                </c:pt>
                <c:pt idx="50">
                  <c:v>39189.4175735346</c:v>
                </c:pt>
                <c:pt idx="51">
                  <c:v>39350.1042364687</c:v>
                </c:pt>
                <c:pt idx="52">
                  <c:v>39511.5110869766</c:v>
                </c:pt>
                <c:pt idx="53">
                  <c:v>39673.6416820548</c:v>
                </c:pt>
                <c:pt idx="54">
                  <c:v>39836.4995978839</c:v>
                </c:pt>
                <c:pt idx="55">
                  <c:v>40000.0884299393</c:v>
                </c:pt>
                <c:pt idx="56">
                  <c:v>40164.4117931023</c:v>
                </c:pt>
                <c:pt idx="57">
                  <c:v>40329.4733217726</c:v>
                </c:pt>
                <c:pt idx="58">
                  <c:v>40495.2766699806</c:v>
                </c:pt>
                <c:pt idx="59">
                  <c:v>40661.8255115007</c:v>
                </c:pt>
                <c:pt idx="60">
                  <c:v>40825.313575809</c:v>
                </c:pt>
                <c:pt idx="61">
                  <c:v>40989.5071560111</c:v>
                </c:pt>
                <c:pt idx="62">
                  <c:v>41154.4095436489</c:v>
                </c:pt>
                <c:pt idx="63">
                  <c:v>41320.0240468004</c:v>
                </c:pt>
                <c:pt idx="64">
                  <c:v>41486.3539901674</c:v>
                </c:pt>
                <c:pt idx="65">
                  <c:v>41653.4027151649</c:v>
                </c:pt>
                <c:pt idx="66">
                  <c:v>41821.1735800097</c:v>
                </c:pt>
                <c:pt idx="67">
                  <c:v>41989.6699598109</c:v>
                </c:pt>
                <c:pt idx="68">
                  <c:v>42158.8952466595</c:v>
                </c:pt>
                <c:pt idx="69">
                  <c:v>42328.8528497196</c:v>
                </c:pt>
                <c:pt idx="70">
                  <c:v>42499.5461953196</c:v>
                </c:pt>
                <c:pt idx="71">
                  <c:v>42670.9787270437</c:v>
                </c:pt>
                <c:pt idx="72">
                  <c:v>42843.1539058247</c:v>
                </c:pt>
                <c:pt idx="73">
                  <c:v>43016.0752100363</c:v>
                </c:pt>
                <c:pt idx="74">
                  <c:v>43189.746135587</c:v>
                </c:pt>
                <c:pt idx="75">
                  <c:v>43364.1701960134</c:v>
                </c:pt>
                <c:pt idx="76">
                  <c:v>43539.350922575</c:v>
                </c:pt>
                <c:pt idx="77">
                  <c:v>43715.2918643488</c:v>
                </c:pt>
                <c:pt idx="78">
                  <c:v>43891.9965883249</c:v>
                </c:pt>
                <c:pt idx="79">
                  <c:v>44069.4686795025</c:v>
                </c:pt>
                <c:pt idx="80">
                  <c:v>44247.7117409866</c:v>
                </c:pt>
                <c:pt idx="81">
                  <c:v>44426.7293940844</c:v>
                </c:pt>
                <c:pt idx="82">
                  <c:v>44606.5252784036</c:v>
                </c:pt>
                <c:pt idx="83">
                  <c:v>44787.1030519503</c:v>
                </c:pt>
                <c:pt idx="84">
                  <c:v>44968.4663912276</c:v>
                </c:pt>
                <c:pt idx="85">
                  <c:v>45150.6189913347</c:v>
                </c:pt>
                <c:pt idx="86">
                  <c:v>45333.5645660673</c:v>
                </c:pt>
                <c:pt idx="87">
                  <c:v>45517.3068480172</c:v>
                </c:pt>
                <c:pt idx="88">
                  <c:v>45701.8495886738</c:v>
                </c:pt>
                <c:pt idx="89">
                  <c:v>45887.1965585254</c:v>
                </c:pt>
                <c:pt idx="90">
                  <c:v>46073.3515471611</c:v>
                </c:pt>
                <c:pt idx="91">
                  <c:v>46260.3183633736</c:v>
                </c:pt>
                <c:pt idx="92">
                  <c:v>46448.1008352623</c:v>
                </c:pt>
                <c:pt idx="93">
                  <c:v>46636.7028103373</c:v>
                </c:pt>
                <c:pt idx="94">
                  <c:v>46826.1281556234</c:v>
                </c:pt>
                <c:pt idx="95">
                  <c:v>47016.3807577655</c:v>
                </c:pt>
                <c:pt idx="96">
                  <c:v>47207.4645231337</c:v>
                </c:pt>
                <c:pt idx="97">
                  <c:v>47399.3833779296</c:v>
                </c:pt>
                <c:pt idx="98">
                  <c:v>47592.1412682933</c:v>
                </c:pt>
                <c:pt idx="99">
                  <c:v>47785.7421604101</c:v>
                </c:pt>
                <c:pt idx="100">
                  <c:v>47980.1900406191</c:v>
                </c:pt>
                <c:pt idx="101">
                  <c:v>48175.4889155213</c:v>
                </c:pt>
                <c:pt idx="102">
                  <c:v>48371.6428120888</c:v>
                </c:pt>
                <c:pt idx="103">
                  <c:v>48568.6557777748</c:v>
                </c:pt>
                <c:pt idx="104">
                  <c:v>48766.5318806236</c:v>
                </c:pt>
                <c:pt idx="105">
                  <c:v>48965.2752093819</c:v>
                </c:pt>
                <c:pt idx="106">
                  <c:v>49164.8898736102</c:v>
                </c:pt>
                <c:pt idx="107">
                  <c:v>49365.3800037954</c:v>
                </c:pt>
                <c:pt idx="108">
                  <c:v>49566.749751463</c:v>
                </c:pt>
                <c:pt idx="109">
                  <c:v>49769.0032892914</c:v>
                </c:pt>
                <c:pt idx="110">
                  <c:v>49972.1448112254</c:v>
                </c:pt>
                <c:pt idx="111">
                  <c:v>50176.1785325912</c:v>
                </c:pt>
                <c:pt idx="112">
                  <c:v>50381.1086902122</c:v>
                </c:pt>
                <c:pt idx="113">
                  <c:v>50586.9395425245</c:v>
                </c:pt>
                <c:pt idx="114">
                  <c:v>50793.6753696939</c:v>
                </c:pt>
                <c:pt idx="115">
                  <c:v>51001.3204737333</c:v>
                </c:pt>
                <c:pt idx="116">
                  <c:v>51209.8791786208</c:v>
                </c:pt>
                <c:pt idx="117">
                  <c:v>51419.3558304183</c:v>
                </c:pt>
                <c:pt idx="118">
                  <c:v>51629.7547973909</c:v>
                </c:pt>
                <c:pt idx="119">
                  <c:v>51841.0804701269</c:v>
                </c:pt>
                <c:pt idx="120">
                  <c:v>52047.8530114973</c:v>
                </c:pt>
                <c:pt idx="121">
                  <c:v>52255.4973850394</c:v>
                </c:pt>
                <c:pt idx="122">
                  <c:v>52464.0174935108</c:v>
                </c:pt>
                <c:pt idx="123">
                  <c:v>52673.4172581724</c:v>
                </c:pt>
                <c:pt idx="124">
                  <c:v>52883.7006188807</c:v>
                </c:pt>
                <c:pt idx="125">
                  <c:v>53094.8715341808</c:v>
                </c:pt>
                <c:pt idx="126">
                  <c:v>53306.9339813992</c:v>
                </c:pt>
                <c:pt idx="127">
                  <c:v>53519.8919567374</c:v>
                </c:pt>
                <c:pt idx="128">
                  <c:v>53733.7494753661</c:v>
                </c:pt>
                <c:pt idx="129">
                  <c:v>53948.5105715198</c:v>
                </c:pt>
                <c:pt idx="130">
                  <c:v>54164.1792985916</c:v>
                </c:pt>
                <c:pt idx="131">
                  <c:v>54380.759729229</c:v>
                </c:pt>
                <c:pt idx="132">
                  <c:v>54598.2559554299</c:v>
                </c:pt>
                <c:pt idx="133">
                  <c:v>54816.6720886391</c:v>
                </c:pt>
                <c:pt idx="134">
                  <c:v>55036.0122598454</c:v>
                </c:pt>
                <c:pt idx="135">
                  <c:v>55256.2806196792</c:v>
                </c:pt>
                <c:pt idx="136">
                  <c:v>55477.4813385101</c:v>
                </c:pt>
                <c:pt idx="137">
                  <c:v>55699.6186065463</c:v>
                </c:pt>
                <c:pt idx="138">
                  <c:v>55922.6966339329</c:v>
                </c:pt>
                <c:pt idx="139">
                  <c:v>56146.7196508518</c:v>
                </c:pt>
                <c:pt idx="140">
                  <c:v>56371.6919076218</c:v>
                </c:pt>
                <c:pt idx="141">
                  <c:v>56597.6176747994</c:v>
                </c:pt>
                <c:pt idx="142">
                  <c:v>56824.5012432796</c:v>
                </c:pt>
                <c:pt idx="143">
                  <c:v>57052.3469243976</c:v>
                </c:pt>
                <c:pt idx="144">
                  <c:v>57281.1590500313</c:v>
                </c:pt>
                <c:pt idx="145">
                  <c:v>57510.9419727037</c:v>
                </c:pt>
                <c:pt idx="146">
                  <c:v>57741.7000656866</c:v>
                </c:pt>
                <c:pt idx="147">
                  <c:v>57973.4377231036</c:v>
                </c:pt>
                <c:pt idx="148">
                  <c:v>58206.1593600355</c:v>
                </c:pt>
                <c:pt idx="149">
                  <c:v>58439.8694126241</c:v>
                </c:pt>
                <c:pt idx="150">
                  <c:v>58674.5723381786</c:v>
                </c:pt>
                <c:pt idx="151">
                  <c:v>58910.2726152806</c:v>
                </c:pt>
                <c:pt idx="152">
                  <c:v>59146.9747438916</c:v>
                </c:pt>
                <c:pt idx="153">
                  <c:v>59384.6832454593</c:v>
                </c:pt>
                <c:pt idx="154">
                  <c:v>59623.4026630255</c:v>
                </c:pt>
                <c:pt idx="155">
                  <c:v>59863.1375613346</c:v>
                </c:pt>
                <c:pt idx="156">
                  <c:v>60103.8925269418</c:v>
                </c:pt>
                <c:pt idx="157">
                  <c:v>60345.6721683227</c:v>
                </c:pt>
                <c:pt idx="158">
                  <c:v>60588.4811159833</c:v>
                </c:pt>
                <c:pt idx="159">
                  <c:v>60832.3240225703</c:v>
                </c:pt>
                <c:pt idx="160">
                  <c:v>61077.2055629819</c:v>
                </c:pt>
                <c:pt idx="161">
                  <c:v>61323.1304344801</c:v>
                </c:pt>
                <c:pt idx="162">
                  <c:v>61570.103356802</c:v>
                </c:pt>
                <c:pt idx="163">
                  <c:v>61818.1290722733</c:v>
                </c:pt>
                <c:pt idx="164">
                  <c:v>62067.2123459214</c:v>
                </c:pt>
                <c:pt idx="165">
                  <c:v>62317.3579655892</c:v>
                </c:pt>
                <c:pt idx="166">
                  <c:v>62568.5707420498</c:v>
                </c:pt>
                <c:pt idx="167">
                  <c:v>62820.8555091215</c:v>
                </c:pt>
                <c:pt idx="168">
                  <c:v>63074.217123784</c:v>
                </c:pt>
                <c:pt idx="169">
                  <c:v>63328.6604662941</c:v>
                </c:pt>
                <c:pt idx="170">
                  <c:v>63584.190440303</c:v>
                </c:pt>
                <c:pt idx="171">
                  <c:v>63840.8119729737</c:v>
                </c:pt>
                <c:pt idx="172">
                  <c:v>64098.5300150996</c:v>
                </c:pt>
                <c:pt idx="173">
                  <c:v>64357.3495412225</c:v>
                </c:pt>
                <c:pt idx="174">
                  <c:v>64617.2755497529</c:v>
                </c:pt>
                <c:pt idx="175">
                  <c:v>64878.3130630892</c:v>
                </c:pt>
                <c:pt idx="176">
                  <c:v>65140.4671277389</c:v>
                </c:pt>
                <c:pt idx="177">
                  <c:v>65403.7428144397</c:v>
                </c:pt>
                <c:pt idx="178">
                  <c:v>65668.1452182814</c:v>
                </c:pt>
                <c:pt idx="179">
                  <c:v>65933.6794588285</c:v>
                </c:pt>
                <c:pt idx="180">
                  <c:v>66184.9082256408</c:v>
                </c:pt>
                <c:pt idx="181">
                  <c:v>66437.1187881024</c:v>
                </c:pt>
                <c:pt idx="182">
                  <c:v>66690.315088479</c:v>
                </c:pt>
                <c:pt idx="183">
                  <c:v>66944.5010853078</c:v>
                </c:pt>
                <c:pt idx="184">
                  <c:v>67199.6807534662</c:v>
                </c:pt>
                <c:pt idx="185">
                  <c:v>67455.8580842413</c:v>
                </c:pt>
                <c:pt idx="186">
                  <c:v>67713.0370853994</c:v>
                </c:pt>
                <c:pt idx="187">
                  <c:v>67971.2217812561</c:v>
                </c:pt>
                <c:pt idx="188">
                  <c:v>68230.416212746</c:v>
                </c:pt>
                <c:pt idx="189">
                  <c:v>68490.6244374933</c:v>
                </c:pt>
                <c:pt idx="190">
                  <c:v>68751.850529883</c:v>
                </c:pt>
                <c:pt idx="191">
                  <c:v>69014.0985811315</c:v>
                </c:pt>
                <c:pt idx="192">
                  <c:v>69277.3726993581</c:v>
                </c:pt>
                <c:pt idx="193">
                  <c:v>69541.677009657</c:v>
                </c:pt>
                <c:pt idx="194">
                  <c:v>69807.0156541688</c:v>
                </c:pt>
                <c:pt idx="195">
                  <c:v>70073.3927921534</c:v>
                </c:pt>
                <c:pt idx="196">
                  <c:v>70340.8126000622</c:v>
                </c:pt>
                <c:pt idx="197">
                  <c:v>70609.2792716112</c:v>
                </c:pt>
                <c:pt idx="198">
                  <c:v>70878.7970178543</c:v>
                </c:pt>
                <c:pt idx="199">
                  <c:v>71149.370067257</c:v>
                </c:pt>
                <c:pt idx="200">
                  <c:v>71421.0026657701</c:v>
                </c:pt>
                <c:pt idx="201">
                  <c:v>71693.699076904</c:v>
                </c:pt>
                <c:pt idx="202">
                  <c:v>71967.4635818034</c:v>
                </c:pt>
                <c:pt idx="203">
                  <c:v>72242.300479322</c:v>
                </c:pt>
                <c:pt idx="204">
                  <c:v>72518.2140860979</c:v>
                </c:pt>
                <c:pt idx="205">
                  <c:v>72795.2087366288</c:v>
                </c:pt>
                <c:pt idx="206">
                  <c:v>73073.2887833483</c:v>
                </c:pt>
                <c:pt idx="207">
                  <c:v>73352.4585967019</c:v>
                </c:pt>
                <c:pt idx="208">
                  <c:v>73632.7225652233</c:v>
                </c:pt>
                <c:pt idx="209">
                  <c:v>73914.0850956116</c:v>
                </c:pt>
                <c:pt idx="210">
                  <c:v>74196.5506128084</c:v>
                </c:pt>
                <c:pt idx="211">
                  <c:v>74480.1235600751</c:v>
                </c:pt>
                <c:pt idx="212">
                  <c:v>74764.8083990712</c:v>
                </c:pt>
                <c:pt idx="213">
                  <c:v>75050.6096099322</c:v>
                </c:pt>
                <c:pt idx="214">
                  <c:v>75337.531691348</c:v>
                </c:pt>
                <c:pt idx="215">
                  <c:v>75625.5791606421</c:v>
                </c:pt>
                <c:pt idx="216">
                  <c:v>75914.756553851</c:v>
                </c:pt>
                <c:pt idx="217">
                  <c:v>76205.0684258031</c:v>
                </c:pt>
                <c:pt idx="218">
                  <c:v>76496.5193501993</c:v>
                </c:pt>
                <c:pt idx="219">
                  <c:v>76789.1139196928</c:v>
                </c:pt>
                <c:pt idx="220">
                  <c:v>77082.8567459701</c:v>
                </c:pt>
                <c:pt idx="221">
                  <c:v>77377.7524598317</c:v>
                </c:pt>
                <c:pt idx="222">
                  <c:v>77673.8057112735</c:v>
                </c:pt>
                <c:pt idx="223">
                  <c:v>77971.0211695684</c:v>
                </c:pt>
                <c:pt idx="224">
                  <c:v>78269.4035233487</c:v>
                </c:pt>
                <c:pt idx="225">
                  <c:v>78568.957480688</c:v>
                </c:pt>
                <c:pt idx="226">
                  <c:v>78869.6877691842</c:v>
                </c:pt>
                <c:pt idx="227">
                  <c:v>79171.5991360427</c:v>
                </c:pt>
                <c:pt idx="228">
                  <c:v>79474.6963481597</c:v>
                </c:pt>
                <c:pt idx="229">
                  <c:v>79778.9841922059</c:v>
                </c:pt>
                <c:pt idx="230">
                  <c:v>80084.4674747113</c:v>
                </c:pt>
                <c:pt idx="231">
                  <c:v>80391.1510221489</c:v>
                </c:pt>
                <c:pt idx="232">
                  <c:v>80699.0396810206</c:v>
                </c:pt>
                <c:pt idx="233">
                  <c:v>81008.1383179417</c:v>
                </c:pt>
                <c:pt idx="234">
                  <c:v>81318.4518197269</c:v>
                </c:pt>
                <c:pt idx="235">
                  <c:v>81629.9850934766</c:v>
                </c:pt>
                <c:pt idx="236">
                  <c:v>81942.7430666628</c:v>
                </c:pt>
                <c:pt idx="237">
                  <c:v>82256.7306872164</c:v>
                </c:pt>
                <c:pt idx="238">
                  <c:v>82571.9529236141</c:v>
                </c:pt>
                <c:pt idx="239">
                  <c:v>82888.4147649661</c:v>
                </c:pt>
                <c:pt idx="240">
                  <c:v>83195.7726941136</c:v>
                </c:pt>
                <c:pt idx="241">
                  <c:v>83504.2856496872</c:v>
                </c:pt>
                <c:pt idx="242">
                  <c:v>83813.9580339374</c:v>
                </c:pt>
                <c:pt idx="243">
                  <c:v>84124.794266139</c:v>
                </c:pt>
                <c:pt idx="244">
                  <c:v>84436.7987826582</c:v>
                </c:pt>
                <c:pt idx="245">
                  <c:v>84749.9760370192</c:v>
                </c:pt>
                <c:pt idx="246">
                  <c:v>85064.330499972</c:v>
                </c:pt>
                <c:pt idx="247">
                  <c:v>85379.8666595595</c:v>
                </c:pt>
                <c:pt idx="248">
                  <c:v>85696.589021186</c:v>
                </c:pt>
                <c:pt idx="249">
                  <c:v>86014.5021076847</c:v>
                </c:pt>
                <c:pt idx="250">
                  <c:v>86333.6104593865</c:v>
                </c:pt>
                <c:pt idx="251">
                  <c:v>86653.9186341887</c:v>
                </c:pt>
                <c:pt idx="252">
                  <c:v>86975.4312076238</c:v>
                </c:pt>
                <c:pt idx="253">
                  <c:v>87298.1527729286</c:v>
                </c:pt>
                <c:pt idx="254">
                  <c:v>87622.0879411142</c:v>
                </c:pt>
                <c:pt idx="255">
                  <c:v>87947.2413410352</c:v>
                </c:pt>
                <c:pt idx="256">
                  <c:v>88273.6176194602</c:v>
                </c:pt>
                <c:pt idx="257">
                  <c:v>88601.2214411418</c:v>
                </c:pt>
                <c:pt idx="258">
                  <c:v>88930.0574888877</c:v>
                </c:pt>
                <c:pt idx="259">
                  <c:v>89260.130463631</c:v>
                </c:pt>
                <c:pt idx="260">
                  <c:v>89591.4450845018</c:v>
                </c:pt>
                <c:pt idx="261">
                  <c:v>89924.0060888986</c:v>
                </c:pt>
                <c:pt idx="262">
                  <c:v>90257.8182325599</c:v>
                </c:pt>
                <c:pt idx="263">
                  <c:v>90592.8862896366</c:v>
                </c:pt>
                <c:pt idx="264">
                  <c:v>90929.2150527636</c:v>
                </c:pt>
                <c:pt idx="265">
                  <c:v>91266.8093331334</c:v>
                </c:pt>
                <c:pt idx="266">
                  <c:v>91605.6739605682</c:v>
                </c:pt>
                <c:pt idx="267">
                  <c:v>91945.8137835935</c:v>
                </c:pt>
                <c:pt idx="268">
                  <c:v>92287.2336695113</c:v>
                </c:pt>
                <c:pt idx="269">
                  <c:v>92629.9385044743</c:v>
                </c:pt>
                <c:pt idx="270">
                  <c:v>92973.9331935595</c:v>
                </c:pt>
                <c:pt idx="271">
                  <c:v>93319.222660843</c:v>
                </c:pt>
                <c:pt idx="272">
                  <c:v>93665.8118494743</c:v>
                </c:pt>
                <c:pt idx="273">
                  <c:v>94013.7057217514</c:v>
                </c:pt>
                <c:pt idx="274">
                  <c:v>94362.9092591962</c:v>
                </c:pt>
                <c:pt idx="275">
                  <c:v>94713.4274626298</c:v>
                </c:pt>
                <c:pt idx="276">
                  <c:v>95065.2653522487</c:v>
                </c:pt>
                <c:pt idx="277">
                  <c:v>95418.4279677005</c:v>
                </c:pt>
                <c:pt idx="278">
                  <c:v>95772.9203681609</c:v>
                </c:pt>
                <c:pt idx="279">
                  <c:v>96128.74763241</c:v>
                </c:pt>
                <c:pt idx="280">
                  <c:v>96485.9148589097</c:v>
                </c:pt>
                <c:pt idx="281">
                  <c:v>96844.4271658808</c:v>
                </c:pt>
                <c:pt idx="282">
                  <c:v>97204.2896913811</c:v>
                </c:pt>
                <c:pt idx="283">
                  <c:v>97565.507593383</c:v>
                </c:pt>
                <c:pt idx="284">
                  <c:v>97928.0860498521</c:v>
                </c:pt>
                <c:pt idx="285">
                  <c:v>98292.0302588256</c:v>
                </c:pt>
                <c:pt idx="286">
                  <c:v>98657.3454384913</c:v>
                </c:pt>
                <c:pt idx="287">
                  <c:v>99024.0368272672</c:v>
                </c:pt>
                <c:pt idx="288">
                  <c:v>99392.1096838804</c:v>
                </c:pt>
                <c:pt idx="289">
                  <c:v>99761.5692874477</c:v>
                </c:pt>
                <c:pt idx="290">
                  <c:v>100132.420937555</c:v>
                </c:pt>
                <c:pt idx="291">
                  <c:v>100504.669954339</c:v>
                </c:pt>
                <c:pt idx="292">
                  <c:v>100878.321678567</c:v>
                </c:pt>
                <c:pt idx="293">
                  <c:v>101253.381471719</c:v>
                </c:pt>
                <c:pt idx="294">
                  <c:v>101629.854716067</c:v>
                </c:pt>
                <c:pt idx="295">
                  <c:v>102007.746814759</c:v>
                </c:pt>
                <c:pt idx="296">
                  <c:v>102387.063191903</c:v>
                </c:pt>
                <c:pt idx="297">
                  <c:v>102767.809292643</c:v>
                </c:pt>
                <c:pt idx="298">
                  <c:v>103149.99058325</c:v>
                </c:pt>
                <c:pt idx="299">
                  <c:v>103533.612551198</c:v>
                </c:pt>
                <c:pt idx="300">
                  <c:v>103905.180992362</c:v>
                </c:pt>
                <c:pt idx="301">
                  <c:v>104278.088961461</c:v>
                </c:pt>
                <c:pt idx="302">
                  <c:v>104652.341310253</c:v>
                </c:pt>
                <c:pt idx="303">
                  <c:v>105027.942908154</c:v>
                </c:pt>
                <c:pt idx="304">
                  <c:v>105404.898642303</c:v>
                </c:pt>
                <c:pt idx="305">
                  <c:v>105783.213417628</c:v>
                </c:pt>
                <c:pt idx="306">
                  <c:v>106162.892156906</c:v>
                </c:pt>
                <c:pt idx="307">
                  <c:v>106543.939800835</c:v>
                </c:pt>
                <c:pt idx="308">
                  <c:v>106926.361308095</c:v>
                </c:pt>
                <c:pt idx="309">
                  <c:v>107310.161655415</c:v>
                </c:pt>
                <c:pt idx="310">
                  <c:v>107695.34583764</c:v>
                </c:pt>
                <c:pt idx="311">
                  <c:v>108081.918867796</c:v>
                </c:pt>
                <c:pt idx="312">
                  <c:v>108469.885777156</c:v>
                </c:pt>
                <c:pt idx="313">
                  <c:v>108859.25161531</c:v>
                </c:pt>
                <c:pt idx="314">
                  <c:v>109250.021450227</c:v>
                </c:pt>
                <c:pt idx="315">
                  <c:v>109642.200368327</c:v>
                </c:pt>
                <c:pt idx="316">
                  <c:v>110035.793474546</c:v>
                </c:pt>
                <c:pt idx="317">
                  <c:v>110430.805892404</c:v>
                </c:pt>
                <c:pt idx="318">
                  <c:v>110827.242764073</c:v>
                </c:pt>
                <c:pt idx="319">
                  <c:v>111225.109250444</c:v>
                </c:pt>
                <c:pt idx="320">
                  <c:v>111624.410531201</c:v>
                </c:pt>
                <c:pt idx="321">
                  <c:v>112025.151804881</c:v>
                </c:pt>
                <c:pt idx="322">
                  <c:v>112427.338288951</c:v>
                </c:pt>
                <c:pt idx="323">
                  <c:v>112830.975219872</c:v>
                </c:pt>
                <c:pt idx="324">
                  <c:v>113236.067853171</c:v>
                </c:pt>
                <c:pt idx="325">
                  <c:v>113642.621463511</c:v>
                </c:pt>
                <c:pt idx="326">
                  <c:v>114050.641344757</c:v>
                </c:pt>
                <c:pt idx="327">
                  <c:v>114460.132810054</c:v>
                </c:pt>
                <c:pt idx="328">
                  <c:v>114871.10119189</c:v>
                </c:pt>
                <c:pt idx="329">
                  <c:v>115283.55184217</c:v>
                </c:pt>
                <c:pt idx="330">
                  <c:v>115697.490132287</c:v>
                </c:pt>
                <c:pt idx="331">
                  <c:v>116112.921453195</c:v>
                </c:pt>
                <c:pt idx="332">
                  <c:v>116529.851215475</c:v>
                </c:pt>
                <c:pt idx="333">
                  <c:v>116948.284849414</c:v>
                </c:pt>
                <c:pt idx="334">
                  <c:v>117368.227805071</c:v>
                </c:pt>
                <c:pt idx="335">
                  <c:v>117789.685552355</c:v>
                </c:pt>
                <c:pt idx="336">
                  <c:v>118212.663581091</c:v>
                </c:pt>
                <c:pt idx="337">
                  <c:v>118637.167401099</c:v>
                </c:pt>
                <c:pt idx="338">
                  <c:v>119063.202542264</c:v>
                </c:pt>
                <c:pt idx="339">
                  <c:v>119490.77455461</c:v>
                </c:pt>
                <c:pt idx="340">
                  <c:v>119919.889008375</c:v>
                </c:pt>
                <c:pt idx="341">
                  <c:v>120350.551494082</c:v>
                </c:pt>
                <c:pt idx="342">
                  <c:v>120782.767622616</c:v>
                </c:pt>
                <c:pt idx="343">
                  <c:v>121216.543025298</c:v>
                </c:pt>
                <c:pt idx="344">
                  <c:v>121651.883353958</c:v>
                </c:pt>
                <c:pt idx="345">
                  <c:v>122088.794281013</c:v>
                </c:pt>
                <c:pt idx="346">
                  <c:v>122527.28149954</c:v>
                </c:pt>
                <c:pt idx="347">
                  <c:v>122967.350723353</c:v>
                </c:pt>
                <c:pt idx="348">
                  <c:v>123409.007687077</c:v>
                </c:pt>
                <c:pt idx="349">
                  <c:v>123852.258146228</c:v>
                </c:pt>
                <c:pt idx="350">
                  <c:v>124297.107877284</c:v>
                </c:pt>
                <c:pt idx="351">
                  <c:v>124743.562677766</c:v>
                </c:pt>
                <c:pt idx="352">
                  <c:v>125191.628366316</c:v>
                </c:pt>
                <c:pt idx="353">
                  <c:v>125641.310782768</c:v>
                </c:pt>
                <c:pt idx="354">
                  <c:v>126092.615788233</c:v>
                </c:pt>
                <c:pt idx="355">
                  <c:v>126545.549265172</c:v>
                </c:pt>
                <c:pt idx="356">
                  <c:v>127000.117117475</c:v>
                </c:pt>
                <c:pt idx="357">
                  <c:v>127456.325270543</c:v>
                </c:pt>
                <c:pt idx="358">
                  <c:v>127914.17967136</c:v>
                </c:pt>
                <c:pt idx="359">
                  <c:v>128373.68628858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774495"/>
        <c:axId val="90937022"/>
      </c:lineChart>
      <c:catAx>
        <c:axId val="937744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37022"/>
        <c:crosses val="autoZero"/>
        <c:auto val="1"/>
        <c:lblAlgn val="ctr"/>
        <c:lblOffset val="100"/>
        <c:noMultiLvlLbl val="0"/>
      </c:catAx>
      <c:valAx>
        <c:axId val="909370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MXN / 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744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33</xdr:row>
      <xdr:rowOff>0</xdr:rowOff>
    </xdr:from>
    <xdr:to>
      <xdr:col>11</xdr:col>
      <xdr:colOff>162360</xdr:colOff>
      <xdr:row>50</xdr:row>
      <xdr:rowOff>1080</xdr:rowOff>
    </xdr:to>
    <xdr:graphicFrame>
      <xdr:nvGraphicFramePr>
        <xdr:cNvPr id="0" name="Chart 1"/>
        <xdr:cNvGraphicFramePr/>
      </xdr:nvGraphicFramePr>
      <xdr:xfrm>
        <a:off x="211320" y="68961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52</xdr:row>
      <xdr:rowOff>0</xdr:rowOff>
    </xdr:from>
    <xdr:to>
      <xdr:col>11</xdr:col>
      <xdr:colOff>162360</xdr:colOff>
      <xdr:row>69</xdr:row>
      <xdr:rowOff>1080</xdr:rowOff>
    </xdr:to>
    <xdr:graphicFrame>
      <xdr:nvGraphicFramePr>
        <xdr:cNvPr id="1" name="Chart 2"/>
        <xdr:cNvGraphicFramePr/>
      </xdr:nvGraphicFramePr>
      <xdr:xfrm>
        <a:off x="211320" y="105156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B2:F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3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</row>
    <row r="5" customFormat="false" ht="19.5" hidden="false" customHeight="true" outlineLevel="0" collapsed="false">
      <c r="B5" s="3" t="s">
        <v>2</v>
      </c>
      <c r="C5" s="3"/>
    </row>
    <row r="6" customFormat="false" ht="15" hidden="false" customHeight="false" outlineLevel="0" collapsed="false">
      <c r="B6" s="4" t="s">
        <v>3</v>
      </c>
      <c r="C6" s="5" t="n">
        <v>65</v>
      </c>
    </row>
    <row r="7" customFormat="false" ht="15" hidden="false" customHeight="false" outlineLevel="0" collapsed="false">
      <c r="B7" s="4" t="s">
        <v>4</v>
      </c>
      <c r="C7" s="5" t="n">
        <v>95</v>
      </c>
    </row>
    <row r="8" customFormat="false" ht="15" hidden="false" customHeight="false" outlineLevel="0" collapsed="false">
      <c r="B8" s="4" t="s">
        <v>5</v>
      </c>
      <c r="C8" s="6" t="n">
        <v>1000000</v>
      </c>
    </row>
    <row r="9" customFormat="false" ht="15" hidden="false" customHeight="false" outlineLevel="0" collapsed="false">
      <c r="B9" s="4" t="s">
        <v>6</v>
      </c>
      <c r="C9" s="6" t="n">
        <v>30000</v>
      </c>
    </row>
    <row r="10" customFormat="false" ht="15" hidden="false" customHeight="false" outlineLevel="0" collapsed="false">
      <c r="B10" s="4" t="s">
        <v>7</v>
      </c>
      <c r="C10" s="6" t="n">
        <v>32000</v>
      </c>
    </row>
    <row r="12" customFormat="false" ht="19.5" hidden="false" customHeight="true" outlineLevel="0" collapsed="false">
      <c r="B12" s="3" t="s">
        <v>8</v>
      </c>
      <c r="C12" s="3"/>
    </row>
    <row r="13" customFormat="false" ht="15" hidden="false" customHeight="false" outlineLevel="0" collapsed="false">
      <c r="B13" s="4" t="s">
        <v>9</v>
      </c>
      <c r="C13" s="7" t="n">
        <v>0.2</v>
      </c>
    </row>
    <row r="14" customFormat="false" ht="15" hidden="false" customHeight="false" outlineLevel="0" collapsed="false">
      <c r="B14" s="4" t="s">
        <v>10</v>
      </c>
      <c r="C14" s="8" t="n">
        <f aca="false">1-C13</f>
        <v>0.8</v>
      </c>
    </row>
    <row r="16" customFormat="false" ht="19.5" hidden="false" customHeight="true" outlineLevel="0" collapsed="false">
      <c r="B16" s="3" t="s">
        <v>11</v>
      </c>
      <c r="C16" s="3"/>
    </row>
    <row r="17" customFormat="false" ht="15" hidden="false" customHeight="false" outlineLevel="0" collapsed="false">
      <c r="B17" s="4" t="s">
        <v>12</v>
      </c>
      <c r="C17" s="7" t="n">
        <v>0.0394</v>
      </c>
    </row>
    <row r="18" customFormat="false" ht="15" hidden="false" customHeight="false" outlineLevel="0" collapsed="false">
      <c r="B18" s="4" t="s">
        <v>13</v>
      </c>
      <c r="C18" s="7" t="n">
        <v>0.0419</v>
      </c>
    </row>
    <row r="19" customFormat="false" ht="15" hidden="false" customHeight="false" outlineLevel="0" collapsed="false">
      <c r="B19" s="4" t="s">
        <v>14</v>
      </c>
      <c r="C19" s="7" t="n">
        <v>0.0484</v>
      </c>
    </row>
    <row r="20" customFormat="false" ht="15" hidden="false" customHeight="false" outlineLevel="0" collapsed="false">
      <c r="B20" s="4" t="s">
        <v>15</v>
      </c>
      <c r="C20" s="7" t="n">
        <v>0.0611</v>
      </c>
    </row>
    <row r="21" customFormat="false" ht="15" hidden="false" customHeight="false" outlineLevel="0" collapsed="false">
      <c r="B21" s="4" t="s">
        <v>16</v>
      </c>
      <c r="C21" s="7" t="n">
        <v>0.009</v>
      </c>
    </row>
    <row r="23" customFormat="false" ht="19.5" hidden="false" customHeight="true" outlineLevel="0" collapsed="false">
      <c r="B23" s="3" t="s">
        <v>17</v>
      </c>
      <c r="C23" s="3"/>
    </row>
    <row r="24" customFormat="false" ht="15" hidden="false" customHeight="false" outlineLevel="0" collapsed="false">
      <c r="B24" s="4" t="s">
        <v>18</v>
      </c>
      <c r="C24" s="7" t="n">
        <v>0.03</v>
      </c>
    </row>
    <row r="25" customFormat="false" ht="15" hidden="false" customHeight="false" outlineLevel="0" collapsed="false">
      <c r="B25" s="4" t="s">
        <v>19</v>
      </c>
      <c r="C25" s="7" t="n">
        <v>0.025</v>
      </c>
    </row>
    <row r="26" customFormat="false" ht="15" hidden="false" customHeight="false" outlineLevel="0" collapsed="false">
      <c r="B26" s="4" t="s">
        <v>20</v>
      </c>
      <c r="C26" s="7" t="n">
        <v>0.02</v>
      </c>
    </row>
    <row r="27" customFormat="false" ht="15" hidden="false" customHeight="false" outlineLevel="0" collapsed="false">
      <c r="B27" s="4" t="s">
        <v>21</v>
      </c>
      <c r="C27" s="7" t="n">
        <v>0.01</v>
      </c>
    </row>
    <row r="28" customFormat="false" ht="15" hidden="false" customHeight="false" outlineLevel="0" collapsed="false">
      <c r="B28" s="4" t="s">
        <v>22</v>
      </c>
      <c r="C28" s="7" t="n">
        <v>0.005</v>
      </c>
    </row>
    <row r="29" customFormat="false" ht="15" hidden="false" customHeight="false" outlineLevel="0" collapsed="false">
      <c r="B29" s="4" t="s">
        <v>23</v>
      </c>
      <c r="C29" s="7" t="n">
        <v>0</v>
      </c>
    </row>
    <row r="30" customFormat="false" ht="15" hidden="false" customHeight="false" outlineLevel="0" collapsed="false">
      <c r="B30" s="9" t="s">
        <v>24</v>
      </c>
      <c r="C30" s="9"/>
    </row>
    <row r="32" customFormat="false" ht="19.5" hidden="false" customHeight="true" outlineLevel="0" collapsed="false">
      <c r="B32" s="3" t="s">
        <v>25</v>
      </c>
      <c r="C32" s="3"/>
    </row>
    <row r="33" customFormat="false" ht="15" hidden="false" customHeight="false" outlineLevel="0" collapsed="false">
      <c r="B33" s="4" t="s">
        <v>26</v>
      </c>
      <c r="C33" s="10" t="n">
        <f aca="false">(C7-C6)*12</f>
        <v>360</v>
      </c>
    </row>
    <row r="34" customFormat="false" ht="15" hidden="false" customHeight="false" outlineLevel="0" collapsed="false">
      <c r="B34" s="4" t="s">
        <v>27</v>
      </c>
      <c r="C34" s="11" t="n">
        <f aca="false">C10*C13</f>
        <v>6400</v>
      </c>
    </row>
    <row r="35" customFormat="false" ht="15" hidden="false" customHeight="false" outlineLevel="0" collapsed="false">
      <c r="B35" s="4" t="s">
        <v>28</v>
      </c>
      <c r="C35" s="11" t="n">
        <f aca="false">C10*C14</f>
        <v>25600</v>
      </c>
    </row>
    <row r="36" customFormat="false" ht="15" hidden="false" customHeight="false" outlineLevel="0" collapsed="false">
      <c r="B36" s="4" t="s">
        <v>29</v>
      </c>
      <c r="C36" s="12" t="n">
        <f aca="false">(1+C18)^(1/12)-1</f>
        <v>0.00342635402997815</v>
      </c>
    </row>
    <row r="37" customFormat="false" ht="15" hidden="false" customHeight="false" outlineLevel="0" collapsed="false">
      <c r="B37" s="4" t="s">
        <v>30</v>
      </c>
      <c r="C37" s="12" t="n">
        <f aca="false">(1+C19)^(1/12)-1</f>
        <v>0.00394653317217308</v>
      </c>
    </row>
    <row r="38" customFormat="false" ht="15" hidden="false" customHeight="false" outlineLevel="0" collapsed="false">
      <c r="B38" s="4" t="s">
        <v>31</v>
      </c>
      <c r="C38" s="12" t="n">
        <f aca="false">(1+C20)^(1/12)-1</f>
        <v>0.00495440818448101</v>
      </c>
    </row>
    <row r="39" customFormat="false" ht="15" hidden="false" customHeight="false" outlineLevel="0" collapsed="false">
      <c r="B39" s="4" t="s">
        <v>32</v>
      </c>
      <c r="C39" s="12" t="n">
        <f aca="false">(1+C21)^(1/12)-1</f>
        <v>0.000746923923138798</v>
      </c>
    </row>
    <row r="40" customFormat="false" ht="15" hidden="false" customHeight="false" outlineLevel="0" collapsed="false">
      <c r="B40" s="4" t="s">
        <v>33</v>
      </c>
      <c r="C40" s="12" t="n">
        <f aca="false">(1+C24)^(1/12)-1</f>
        <v>0.00246626977230369</v>
      </c>
    </row>
    <row r="41" customFormat="false" ht="15" hidden="false" customHeight="false" outlineLevel="0" collapsed="false">
      <c r="B41" s="4" t="s">
        <v>34</v>
      </c>
      <c r="C41" s="12" t="n">
        <f aca="false">(1+C25)^(1/12)-1</f>
        <v>0.00205983626984274</v>
      </c>
    </row>
    <row r="42" customFormat="false" ht="15" hidden="false" customHeight="false" outlineLevel="0" collapsed="false">
      <c r="B42" s="4" t="s">
        <v>35</v>
      </c>
      <c r="C42" s="12" t="n">
        <f aca="false">(1+C26)^(1/12)-1</f>
        <v>0.00165158130192022</v>
      </c>
    </row>
    <row r="43" customFormat="false" ht="15" hidden="false" customHeight="false" outlineLevel="0" collapsed="false">
      <c r="B43" s="4" t="s">
        <v>36</v>
      </c>
      <c r="C43" s="12" t="n">
        <f aca="false">(1+C27)^(1/12)-1</f>
        <v>0.000829538114346162</v>
      </c>
    </row>
    <row r="44" customFormat="false" ht="15" hidden="false" customHeight="false" outlineLevel="0" collapsed="false">
      <c r="B44" s="4" t="s">
        <v>37</v>
      </c>
      <c r="C44" s="12" t="n">
        <f aca="false">(1+C28)^(1/12)-1</f>
        <v>0.00041571484472902</v>
      </c>
    </row>
    <row r="45" customFormat="false" ht="15" hidden="false" customHeight="false" outlineLevel="0" collapsed="false">
      <c r="B45" s="4" t="s">
        <v>38</v>
      </c>
      <c r="C45" s="12" t="n">
        <f aca="false">(1+C29)^(1/12)-1</f>
        <v>0</v>
      </c>
    </row>
    <row r="47" customFormat="false" ht="15" hidden="false" customHeight="true" outlineLevel="0" collapsed="false">
      <c r="B47" s="13" t="s">
        <v>39</v>
      </c>
      <c r="C47" s="13"/>
    </row>
    <row r="48" customFormat="false" ht="15" hidden="false" customHeight="false" outlineLevel="0" collapsed="false">
      <c r="B48" s="13"/>
      <c r="C48" s="13"/>
    </row>
    <row r="49" customFormat="false" ht="15" hidden="false" customHeight="false" outlineLevel="0" collapsed="false">
      <c r="B49" s="13"/>
      <c r="C49" s="13"/>
    </row>
  </sheetData>
  <mergeCells count="9">
    <mergeCell ref="B2:F2"/>
    <mergeCell ref="B3:F3"/>
    <mergeCell ref="B5:C5"/>
    <mergeCell ref="B12:C12"/>
    <mergeCell ref="B16:C16"/>
    <mergeCell ref="B23:C23"/>
    <mergeCell ref="B30:C30"/>
    <mergeCell ref="B32:C32"/>
    <mergeCell ref="B47:C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Q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0" min="10" style="0" width="14"/>
    <col collapsed="false" customWidth="true" hidden="false" outlineLevel="0" max="12" min="11" style="0" width="13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1"/>
  </cols>
  <sheetData>
    <row r="1" customFormat="false" ht="21.75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1.5" hidden="false" customHeight="true" outlineLevel="0" collapsed="false">
      <c r="A2" s="14" t="s">
        <v>41</v>
      </c>
      <c r="B2" s="14" t="s">
        <v>42</v>
      </c>
      <c r="C2" s="14" t="s">
        <v>43</v>
      </c>
      <c r="D2" s="14" t="s">
        <v>44</v>
      </c>
      <c r="E2" s="14" t="s">
        <v>45</v>
      </c>
      <c r="F2" s="14" t="s">
        <v>46</v>
      </c>
      <c r="G2" s="14" t="s">
        <v>47</v>
      </c>
      <c r="H2" s="14" t="s">
        <v>48</v>
      </c>
      <c r="I2" s="14" t="s">
        <v>49</v>
      </c>
      <c r="J2" s="14" t="s">
        <v>50</v>
      </c>
      <c r="K2" s="14" t="s">
        <v>51</v>
      </c>
      <c r="L2" s="14" t="s">
        <v>52</v>
      </c>
      <c r="M2" s="14" t="s">
        <v>53</v>
      </c>
      <c r="N2" s="14" t="s">
        <v>54</v>
      </c>
      <c r="O2" s="14" t="s">
        <v>55</v>
      </c>
      <c r="P2" s="14" t="s">
        <v>56</v>
      </c>
      <c r="Q2" s="14" t="s">
        <v>57</v>
      </c>
    </row>
    <row r="3" customFormat="false" ht="15" hidden="false" customHeight="false" outlineLevel="0" collapsed="false">
      <c r="A3" s="15" t="n">
        <v>1</v>
      </c>
      <c r="B3" s="15" t="n">
        <f aca="false">IF($A3="","",ROUNDUP($A3/12,0))</f>
        <v>1</v>
      </c>
      <c r="C3" s="15" t="n">
        <f aca="false">IF($A3="","",PARAMETROS!$C$6+INT(($A3-1)/12))</f>
        <v>65</v>
      </c>
      <c r="D3" s="15" t="n">
        <f aca="false">IF($A3="","",MOD($A3-1,12)+1)</f>
        <v>1</v>
      </c>
      <c r="E3" s="16" t="n">
        <f aca="false">PARAMETROS!$C$8</f>
        <v>1000000</v>
      </c>
      <c r="F3" s="17" t="n">
        <f aca="false">IF($A3&gt;PARAMETROS!$C$33,"",PARAMETROS!$C$38)</f>
        <v>0.00495440818448101</v>
      </c>
      <c r="G3" s="16" t="n">
        <f aca="false">IF($A3&gt;PARAMETROS!$C$33,"",E3*F3)</f>
        <v>4954.40818448101</v>
      </c>
      <c r="H3" s="16" t="n">
        <f aca="false">IF($A3&gt;PARAMETROS!$C$33,"",E3*PARAMETROS!$C$39)</f>
        <v>746.923923138798</v>
      </c>
      <c r="I3" s="16" t="n">
        <f aca="false">IF($A3&gt;PARAMETROS!$C$33,"",G3-H3)</f>
        <v>4207.48426134221</v>
      </c>
      <c r="J3" s="16" t="n">
        <f aca="false">IF($A3&gt;PARAMETROS!$C$33,"",PARAMETROS!$C$9*(1+PARAMETROS!$C$17)^(B3-1))</f>
        <v>30000</v>
      </c>
      <c r="K3" s="16" t="n">
        <f aca="false">PARAMETROS!$C$35</f>
        <v>25600</v>
      </c>
      <c r="L3" s="16" t="n">
        <f aca="false">PARAMETROS!$C$34</f>
        <v>6400</v>
      </c>
      <c r="M3" s="17" t="n">
        <f aca="false">IF($A3&gt;PARAMETROS!$C$33,"",IF(C3&lt;70,PARAMETROS!$C$40,IF(C3&lt;75,PARAMETROS!$C$41,IF(C3&lt;80,PARAMETROS!$C$42,IF(C3&lt;85,PARAMETROS!$C$43,IF(C3&lt;90,PARAMETROS!$C$44,PARAMETROS!$C$45))))))</f>
        <v>0.00246626977230369</v>
      </c>
      <c r="N3" s="16" t="n">
        <f aca="false">IF($A3&gt;PARAMETROS!$C$33,"",K3+L3)</f>
        <v>32000</v>
      </c>
      <c r="O3" s="16" t="n">
        <f aca="false">IF($A3&gt;PARAMETROS!$C$33,"",I3+J3-N3)</f>
        <v>2207.48426134221</v>
      </c>
      <c r="P3" s="16" t="n">
        <f aca="false">IF($A3&gt;PARAMETROS!$C$33,"",MAX(E3+I3+J3-N3,0))</f>
        <v>1002207.48426134</v>
      </c>
      <c r="Q3" s="18" t="str">
        <f aca="false">IF($A3&gt;PARAMETROS!$C$33,"",IF(P3&lt;=0,"AGOTADO","OK"))</f>
        <v>OK</v>
      </c>
    </row>
    <row r="4" customFormat="false" ht="15" hidden="false" customHeight="false" outlineLevel="0" collapsed="false">
      <c r="A4" s="15" t="n">
        <f aca="false">A3+1</f>
        <v>2</v>
      </c>
      <c r="B4" s="15" t="n">
        <f aca="false">IF($A4="","",ROUNDUP($A4/12,0))</f>
        <v>1</v>
      </c>
      <c r="C4" s="15" t="n">
        <f aca="false">IF($A4="","",PARAMETROS!$C$6+INT(($A4-1)/12))</f>
        <v>65</v>
      </c>
      <c r="D4" s="15" t="n">
        <f aca="false">IF($A4="","",MOD($A4-1,12)+1)</f>
        <v>2</v>
      </c>
      <c r="E4" s="16" t="n">
        <f aca="false">IF($A4&gt;PARAMETROS!$C$33,"",P3)</f>
        <v>1002207.48426134</v>
      </c>
      <c r="F4" s="17" t="n">
        <f aca="false">IF($A4&gt;PARAMETROS!$C$33,"",PARAMETROS!$C$38)</f>
        <v>0.00495440818448101</v>
      </c>
      <c r="G4" s="16" t="n">
        <f aca="false">IF($A4&gt;PARAMETROS!$C$33,"",E4*F4)</f>
        <v>4965.34496257251</v>
      </c>
      <c r="H4" s="16" t="n">
        <f aca="false">IF($A4&gt;PARAMETROS!$C$33,"",E4*PARAMETROS!$C$39)</f>
        <v>748.572745943547</v>
      </c>
      <c r="I4" s="16" t="n">
        <f aca="false">IF($A4&gt;PARAMETROS!$C$33,"",G4-H4)</f>
        <v>4216.77221662897</v>
      </c>
      <c r="J4" s="16" t="n">
        <f aca="false">IF($A4&gt;PARAMETROS!$C$33,"",PARAMETROS!$C$9*(1+PARAMETROS!$C$17)^(B4-1))</f>
        <v>30000</v>
      </c>
      <c r="K4" s="16" t="n">
        <f aca="false">IF($A4&gt;PARAMETROS!$C$33,"",K3*(1+PARAMETROS!$C$36))</f>
        <v>25687.7146631674</v>
      </c>
      <c r="L4" s="16" t="n">
        <f aca="false">IF($A4&gt;PARAMETROS!$C$33,"",L3*(1+PARAMETROS!$C$37)*(1+M4))</f>
        <v>6441.10423142365</v>
      </c>
      <c r="M4" s="17" t="n">
        <f aca="false">IF($A4&gt;PARAMETROS!$C$33,"",IF(C4&lt;70,PARAMETROS!$C$40,IF(C4&lt;75,PARAMETROS!$C$41,IF(C4&lt;80,PARAMETROS!$C$42,IF(C4&lt;85,PARAMETROS!$C$43,IF(C4&lt;90,PARAMETROS!$C$44,PARAMETROS!$C$45))))))</f>
        <v>0.00246626977230369</v>
      </c>
      <c r="N4" s="16" t="n">
        <f aca="false">IF($A4&gt;PARAMETROS!$C$33,"",K4+L4)</f>
        <v>32128.8188945911</v>
      </c>
      <c r="O4" s="16" t="n">
        <f aca="false">IF($A4&gt;PARAMETROS!$C$33,"",I4+J4-N4)</f>
        <v>2087.95332203788</v>
      </c>
      <c r="P4" s="16" t="n">
        <f aca="false">IF($A4&gt;PARAMETROS!$C$33,"",MAX(E4+I4+J4-N4,0))</f>
        <v>1004295.43758338</v>
      </c>
      <c r="Q4" s="18" t="str">
        <f aca="false">IF($A4&gt;PARAMETROS!$C$33,"",IF(P4&lt;=0,"AGOTADO","OK"))</f>
        <v>OK</v>
      </c>
    </row>
    <row r="5" customFormat="false" ht="15" hidden="false" customHeight="false" outlineLevel="0" collapsed="false">
      <c r="A5" s="15" t="n">
        <f aca="false">A4+1</f>
        <v>3</v>
      </c>
      <c r="B5" s="15" t="n">
        <f aca="false">IF($A5="","",ROUNDUP($A5/12,0))</f>
        <v>1</v>
      </c>
      <c r="C5" s="15" t="n">
        <f aca="false">IF($A5="","",PARAMETROS!$C$6+INT(($A5-1)/12))</f>
        <v>65</v>
      </c>
      <c r="D5" s="15" t="n">
        <f aca="false">IF($A5="","",MOD($A5-1,12)+1)</f>
        <v>3</v>
      </c>
      <c r="E5" s="16" t="n">
        <f aca="false">IF($A5&gt;PARAMETROS!$C$33,"",P4)</f>
        <v>1004295.43758338</v>
      </c>
      <c r="F5" s="17" t="n">
        <f aca="false">IF($A5&gt;PARAMETROS!$C$33,"",PARAMETROS!$C$38)</f>
        <v>0.00495440818448101</v>
      </c>
      <c r="G5" s="16" t="n">
        <f aca="false">IF($A5&gt;PARAMETROS!$C$33,"",E5*F5)</f>
        <v>4975.68953560003</v>
      </c>
      <c r="H5" s="16" t="n">
        <f aca="false">IF($A5&gt;PARAMETROS!$C$33,"",E5*PARAMETROS!$C$39)</f>
        <v>750.132288230174</v>
      </c>
      <c r="I5" s="16" t="n">
        <f aca="false">IF($A5&gt;PARAMETROS!$C$33,"",G5-H5)</f>
        <v>4225.55724736986</v>
      </c>
      <c r="J5" s="16" t="n">
        <f aca="false">IF($A5&gt;PARAMETROS!$C$33,"",PARAMETROS!$C$9*(1+PARAMETROS!$C$17)^(B5-1))</f>
        <v>30000</v>
      </c>
      <c r="K5" s="16" t="n">
        <f aca="false">IF($A5&gt;PARAMETROS!$C$33,"",K4*(1+PARAMETROS!$C$36))</f>
        <v>25775.7298678245</v>
      </c>
      <c r="L5" s="16" t="n">
        <f aca="false">IF($A5&gt;PARAMETROS!$C$33,"",L4*(1+PARAMETROS!$C$37)*(1+M5))</f>
        <v>6482.47245625994</v>
      </c>
      <c r="M5" s="17" t="n">
        <f aca="false">IF($A5&gt;PARAMETROS!$C$33,"",IF(C5&lt;70,PARAMETROS!$C$40,IF(C5&lt;75,PARAMETROS!$C$41,IF(C5&lt;80,PARAMETROS!$C$42,IF(C5&lt;85,PARAMETROS!$C$43,IF(C5&lt;90,PARAMETROS!$C$44,PARAMETROS!$C$45))))))</f>
        <v>0.00246626977230369</v>
      </c>
      <c r="N5" s="16" t="n">
        <f aca="false">IF($A5&gt;PARAMETROS!$C$33,"",K5+L5)</f>
        <v>32258.2023240845</v>
      </c>
      <c r="O5" s="16" t="n">
        <f aca="false">IF($A5&gt;PARAMETROS!$C$33,"",I5+J5-N5)</f>
        <v>1967.35492328541</v>
      </c>
      <c r="P5" s="16" t="n">
        <f aca="false">IF($A5&gt;PARAMETROS!$C$33,"",MAX(E5+I5+J5-N5,0))</f>
        <v>1006262.79250667</v>
      </c>
      <c r="Q5" s="18" t="str">
        <f aca="false">IF($A5&gt;PARAMETROS!$C$33,"",IF(P5&lt;=0,"AGOTADO","OK"))</f>
        <v>OK</v>
      </c>
    </row>
    <row r="6" customFormat="false" ht="15" hidden="false" customHeight="false" outlineLevel="0" collapsed="false">
      <c r="A6" s="15" t="n">
        <f aca="false">A5+1</f>
        <v>4</v>
      </c>
      <c r="B6" s="15" t="n">
        <f aca="false">IF($A6="","",ROUNDUP($A6/12,0))</f>
        <v>1</v>
      </c>
      <c r="C6" s="15" t="n">
        <f aca="false">IF($A6="","",PARAMETROS!$C$6+INT(($A6-1)/12))</f>
        <v>65</v>
      </c>
      <c r="D6" s="15" t="n">
        <f aca="false">IF($A6="","",MOD($A6-1,12)+1)</f>
        <v>4</v>
      </c>
      <c r="E6" s="16" t="n">
        <f aca="false">IF($A6&gt;PARAMETROS!$C$33,"",P5)</f>
        <v>1006262.79250667</v>
      </c>
      <c r="F6" s="17" t="n">
        <f aca="false">IF($A6&gt;PARAMETROS!$C$33,"",PARAMETROS!$C$38)</f>
        <v>0.00495440818448101</v>
      </c>
      <c r="G6" s="16" t="n">
        <f aca="false">IF($A6&gt;PARAMETROS!$C$33,"",E6*F6)</f>
        <v>4985.43661493374</v>
      </c>
      <c r="H6" s="16" t="n">
        <f aca="false">IF($A6&gt;PARAMETROS!$C$33,"",E6*PARAMETROS!$C$39)</f>
        <v>751.601752687681</v>
      </c>
      <c r="I6" s="16" t="n">
        <f aca="false">IF($A6&gt;PARAMETROS!$C$33,"",G6-H6)</f>
        <v>4233.83486224606</v>
      </c>
      <c r="J6" s="16" t="n">
        <f aca="false">IF($A6&gt;PARAMETROS!$C$33,"",PARAMETROS!$C$9*(1+PARAMETROS!$C$17)^(B6-1))</f>
        <v>30000</v>
      </c>
      <c r="K6" s="16" t="n">
        <f aca="false">IF($A6&gt;PARAMETROS!$C$33,"",K5*(1+PARAMETROS!$C$36))</f>
        <v>25864.0466437328</v>
      </c>
      <c r="L6" s="16" t="n">
        <f aca="false">IF($A6&gt;PARAMETROS!$C$33,"",L5*(1+PARAMETROS!$C$37)*(1+M6))</f>
        <v>6524.10637001611</v>
      </c>
      <c r="M6" s="17" t="n">
        <f aca="false">IF($A6&gt;PARAMETROS!$C$33,"",IF(C6&lt;70,PARAMETROS!$C$40,IF(C6&lt;75,PARAMETROS!$C$41,IF(C6&lt;80,PARAMETROS!$C$42,IF(C6&lt;85,PARAMETROS!$C$43,IF(C6&lt;90,PARAMETROS!$C$44,PARAMETROS!$C$45))))))</f>
        <v>0.00246626977230369</v>
      </c>
      <c r="N6" s="16" t="n">
        <f aca="false">IF($A6&gt;PARAMETROS!$C$33,"",K6+L6)</f>
        <v>32388.1530137489</v>
      </c>
      <c r="O6" s="16" t="n">
        <f aca="false">IF($A6&gt;PARAMETROS!$C$33,"",I6+J6-N6)</f>
        <v>1845.68184849718</v>
      </c>
      <c r="P6" s="16" t="n">
        <f aca="false">IF($A6&gt;PARAMETROS!$C$33,"",MAX(E6+I6+J6-N6,0))</f>
        <v>1008108.47435516</v>
      </c>
      <c r="Q6" s="18" t="str">
        <f aca="false">IF($A6&gt;PARAMETROS!$C$33,"",IF(P6&lt;=0,"AGOTADO","OK"))</f>
        <v>OK</v>
      </c>
    </row>
    <row r="7" customFormat="false" ht="15" hidden="false" customHeight="false" outlineLevel="0" collapsed="false">
      <c r="A7" s="15" t="n">
        <f aca="false">A6+1</f>
        <v>5</v>
      </c>
      <c r="B7" s="15" t="n">
        <f aca="false">IF($A7="","",ROUNDUP($A7/12,0))</f>
        <v>1</v>
      </c>
      <c r="C7" s="15" t="n">
        <f aca="false">IF($A7="","",PARAMETROS!$C$6+INT(($A7-1)/12))</f>
        <v>65</v>
      </c>
      <c r="D7" s="15" t="n">
        <f aca="false">IF($A7="","",MOD($A7-1,12)+1)</f>
        <v>5</v>
      </c>
      <c r="E7" s="16" t="n">
        <f aca="false">IF($A7&gt;PARAMETROS!$C$33,"",P6)</f>
        <v>1008108.47435516</v>
      </c>
      <c r="F7" s="17" t="n">
        <f aca="false">IF($A7&gt;PARAMETROS!$C$33,"",PARAMETROS!$C$38)</f>
        <v>0.00495440818448101</v>
      </c>
      <c r="G7" s="16" t="n">
        <f aca="false">IF($A7&gt;PARAMETROS!$C$33,"",E7*F7)</f>
        <v>4994.58087618988</v>
      </c>
      <c r="H7" s="16" t="n">
        <f aca="false">IF($A7&gt;PARAMETROS!$C$33,"",E7*PARAMETROS!$C$39)</f>
        <v>752.980336614827</v>
      </c>
      <c r="I7" s="16" t="n">
        <f aca="false">IF($A7&gt;PARAMETROS!$C$33,"",G7-H7)</f>
        <v>4241.60053957505</v>
      </c>
      <c r="J7" s="16" t="n">
        <f aca="false">IF($A7&gt;PARAMETROS!$C$33,"",PARAMETROS!$C$9*(1+PARAMETROS!$C$17)^(B7-1))</f>
        <v>30000</v>
      </c>
      <c r="K7" s="16" t="n">
        <f aca="false">IF($A7&gt;PARAMETROS!$C$33,"",K6*(1+PARAMETROS!$C$36))</f>
        <v>25952.6660241821</v>
      </c>
      <c r="L7" s="16" t="n">
        <f aca="false">IF($A7&gt;PARAMETROS!$C$33,"",L6*(1+PARAMETROS!$C$37)*(1+M7))</f>
        <v>6566.00767908887</v>
      </c>
      <c r="M7" s="17" t="n">
        <f aca="false">IF($A7&gt;PARAMETROS!$C$33,"",IF(C7&lt;70,PARAMETROS!$C$40,IF(C7&lt;75,PARAMETROS!$C$41,IF(C7&lt;80,PARAMETROS!$C$42,IF(C7&lt;85,PARAMETROS!$C$43,IF(C7&lt;90,PARAMETROS!$C$44,PARAMETROS!$C$45))))))</f>
        <v>0.00246626977230369</v>
      </c>
      <c r="N7" s="16" t="n">
        <f aca="false">IF($A7&gt;PARAMETROS!$C$33,"",K7+L7)</f>
        <v>32518.6737032709</v>
      </c>
      <c r="O7" s="16" t="n">
        <f aca="false">IF($A7&gt;PARAMETROS!$C$33,"",I7+J7-N7)</f>
        <v>1722.92683630413</v>
      </c>
      <c r="P7" s="16" t="n">
        <f aca="false">IF($A7&gt;PARAMETROS!$C$33,"",MAX(E7+I7+J7-N7,0))</f>
        <v>1009831.40119147</v>
      </c>
      <c r="Q7" s="18" t="str">
        <f aca="false">IF($A7&gt;PARAMETROS!$C$33,"",IF(P7&lt;=0,"AGOTADO","OK"))</f>
        <v>OK</v>
      </c>
    </row>
    <row r="8" customFormat="false" ht="15" hidden="false" customHeight="false" outlineLevel="0" collapsed="false">
      <c r="A8" s="15" t="n">
        <f aca="false">A7+1</f>
        <v>6</v>
      </c>
      <c r="B8" s="15" t="n">
        <f aca="false">IF($A8="","",ROUNDUP($A8/12,0))</f>
        <v>1</v>
      </c>
      <c r="C8" s="15" t="n">
        <f aca="false">IF($A8="","",PARAMETROS!$C$6+INT(($A8-1)/12))</f>
        <v>65</v>
      </c>
      <c r="D8" s="15" t="n">
        <f aca="false">IF($A8="","",MOD($A8-1,12)+1)</f>
        <v>6</v>
      </c>
      <c r="E8" s="16" t="n">
        <f aca="false">IF($A8&gt;PARAMETROS!$C$33,"",P7)</f>
        <v>1009831.40119147</v>
      </c>
      <c r="F8" s="17" t="n">
        <f aca="false">IF($A8&gt;PARAMETROS!$C$33,"",PARAMETROS!$C$38)</f>
        <v>0.00495440818448101</v>
      </c>
      <c r="G8" s="16" t="n">
        <f aca="false">IF($A8&gt;PARAMETROS!$C$33,"",E8*F8)</f>
        <v>5003.11695900893</v>
      </c>
      <c r="H8" s="16" t="n">
        <f aca="false">IF($A8&gt;PARAMETROS!$C$33,"",E8*PARAMETROS!$C$39)</f>
        <v>754.26723188668</v>
      </c>
      <c r="I8" s="16" t="n">
        <f aca="false">IF($A8&gt;PARAMETROS!$C$33,"",G8-H8)</f>
        <v>4248.84972712225</v>
      </c>
      <c r="J8" s="16" t="n">
        <f aca="false">IF($A8&gt;PARAMETROS!$C$33,"",PARAMETROS!$C$9*(1+PARAMETROS!$C$17)^(B8-1))</f>
        <v>30000</v>
      </c>
      <c r="K8" s="16" t="n">
        <f aca="false">IF($A8&gt;PARAMETROS!$C$33,"",K7*(1+PARAMETROS!$C$36))</f>
        <v>26041.5890460027</v>
      </c>
      <c r="L8" s="16" t="n">
        <f aca="false">IF($A8&gt;PARAMETROS!$C$33,"",L7*(1+PARAMETROS!$C$37)*(1+M8))</f>
        <v>6608.17810083429</v>
      </c>
      <c r="M8" s="17" t="n">
        <f aca="false">IF($A8&gt;PARAMETROS!$C$33,"",IF(C8&lt;70,PARAMETROS!$C$40,IF(C8&lt;75,PARAMETROS!$C$41,IF(C8&lt;80,PARAMETROS!$C$42,IF(C8&lt;85,PARAMETROS!$C$43,IF(C8&lt;90,PARAMETROS!$C$44,PARAMETROS!$C$45))))))</f>
        <v>0.00246626977230369</v>
      </c>
      <c r="N8" s="16" t="n">
        <f aca="false">IF($A8&gt;PARAMETROS!$C$33,"",K8+L8)</f>
        <v>32649.767146837</v>
      </c>
      <c r="O8" s="16" t="n">
        <f aca="false">IF($A8&gt;PARAMETROS!$C$33,"",I8+J8-N8)</f>
        <v>1599.08258028526</v>
      </c>
      <c r="P8" s="16" t="n">
        <f aca="false">IF($A8&gt;PARAMETROS!$C$33,"",MAX(E8+I8+J8-N8,0))</f>
        <v>1011430.48377175</v>
      </c>
      <c r="Q8" s="18" t="str">
        <f aca="false">IF($A8&gt;PARAMETROS!$C$33,"",IF(P8&lt;=0,"AGOTADO","OK"))</f>
        <v>OK</v>
      </c>
    </row>
    <row r="9" customFormat="false" ht="15" hidden="false" customHeight="false" outlineLevel="0" collapsed="false">
      <c r="A9" s="15" t="n">
        <f aca="false">A8+1</f>
        <v>7</v>
      </c>
      <c r="B9" s="15" t="n">
        <f aca="false">IF($A9="","",ROUNDUP($A9/12,0))</f>
        <v>1</v>
      </c>
      <c r="C9" s="15" t="n">
        <f aca="false">IF($A9="","",PARAMETROS!$C$6+INT(($A9-1)/12))</f>
        <v>65</v>
      </c>
      <c r="D9" s="15" t="n">
        <f aca="false">IF($A9="","",MOD($A9-1,12)+1)</f>
        <v>7</v>
      </c>
      <c r="E9" s="16" t="n">
        <f aca="false">IF($A9&gt;PARAMETROS!$C$33,"",P8)</f>
        <v>1011430.48377175</v>
      </c>
      <c r="F9" s="17" t="n">
        <f aca="false">IF($A9&gt;PARAMETROS!$C$33,"",PARAMETROS!$C$38)</f>
        <v>0.00495440818448101</v>
      </c>
      <c r="G9" s="16" t="n">
        <f aca="false">IF($A9&gt;PARAMETROS!$C$33,"",E9*F9)</f>
        <v>5011.03946683235</v>
      </c>
      <c r="H9" s="16" t="n">
        <f aca="false">IF($A9&gt;PARAMETROS!$C$33,"",E9*PARAMETROS!$C$39)</f>
        <v>755.46162492097</v>
      </c>
      <c r="I9" s="16" t="n">
        <f aca="false">IF($A9&gt;PARAMETROS!$C$33,"",G9-H9)</f>
        <v>4255.57784191138</v>
      </c>
      <c r="J9" s="16" t="n">
        <f aca="false">IF($A9&gt;PARAMETROS!$C$33,"",PARAMETROS!$C$9*(1+PARAMETROS!$C$17)^(B9-1))</f>
        <v>30000</v>
      </c>
      <c r="K9" s="16" t="n">
        <f aca="false">IF($A9&gt;PARAMETROS!$C$33,"",K8*(1+PARAMETROS!$C$36))</f>
        <v>26130.8167495775</v>
      </c>
      <c r="L9" s="16" t="n">
        <f aca="false">IF($A9&gt;PARAMETROS!$C$33,"",L8*(1+PARAMETROS!$C$37)*(1+M9))</f>
        <v>6650.61936363825</v>
      </c>
      <c r="M9" s="17" t="n">
        <f aca="false">IF($A9&gt;PARAMETROS!$C$33,"",IF(C9&lt;70,PARAMETROS!$C$40,IF(C9&lt;75,PARAMETROS!$C$41,IF(C9&lt;80,PARAMETROS!$C$42,IF(C9&lt;85,PARAMETROS!$C$43,IF(C9&lt;90,PARAMETROS!$C$44,PARAMETROS!$C$45))))))</f>
        <v>0.00246626977230369</v>
      </c>
      <c r="N9" s="16" t="n">
        <f aca="false">IF($A9&gt;PARAMETROS!$C$33,"",K9+L9)</f>
        <v>32781.4361132158</v>
      </c>
      <c r="O9" s="16" t="n">
        <f aca="false">IF($A9&gt;PARAMETROS!$C$33,"",I9+J9-N9)</f>
        <v>1474.14172869563</v>
      </c>
      <c r="P9" s="16" t="n">
        <f aca="false">IF($A9&gt;PARAMETROS!$C$33,"",MAX(E9+I9+J9-N9,0))</f>
        <v>1012904.62550045</v>
      </c>
      <c r="Q9" s="18" t="str">
        <f aca="false">IF($A9&gt;PARAMETROS!$C$33,"",IF(P9&lt;=0,"AGOTADO","OK"))</f>
        <v>OK</v>
      </c>
    </row>
    <row r="10" customFormat="false" ht="15" hidden="false" customHeight="false" outlineLevel="0" collapsed="false">
      <c r="A10" s="15" t="n">
        <f aca="false">A9+1</f>
        <v>8</v>
      </c>
      <c r="B10" s="15" t="n">
        <f aca="false">IF($A10="","",ROUNDUP($A10/12,0))</f>
        <v>1</v>
      </c>
      <c r="C10" s="15" t="n">
        <f aca="false">IF($A10="","",PARAMETROS!$C$6+INT(($A10-1)/12))</f>
        <v>65</v>
      </c>
      <c r="D10" s="15" t="n">
        <f aca="false">IF($A10="","",MOD($A10-1,12)+1)</f>
        <v>8</v>
      </c>
      <c r="E10" s="16" t="n">
        <f aca="false">IF($A10&gt;PARAMETROS!$C$33,"",P9)</f>
        <v>1012904.62550045</v>
      </c>
      <c r="F10" s="17" t="n">
        <f aca="false">IF($A10&gt;PARAMETROS!$C$33,"",PARAMETROS!$C$38)</f>
        <v>0.00495440818448101</v>
      </c>
      <c r="G10" s="16" t="n">
        <f aca="false">IF($A10&gt;PARAMETROS!$C$33,"",E10*F10)</f>
        <v>5018.34296667809</v>
      </c>
      <c r="H10" s="16" t="n">
        <f aca="false">IF($A10&gt;PARAMETROS!$C$33,"",E10*PARAMETROS!$C$39)</f>
        <v>756.56269664423</v>
      </c>
      <c r="I10" s="16" t="n">
        <f aca="false">IF($A10&gt;PARAMETROS!$C$33,"",G10-H10)</f>
        <v>4261.78027003386</v>
      </c>
      <c r="J10" s="16" t="n">
        <f aca="false">IF($A10&gt;PARAMETROS!$C$33,"",PARAMETROS!$C$9*(1+PARAMETROS!$C$17)^(B10-1))</f>
        <v>30000</v>
      </c>
      <c r="K10" s="16" t="n">
        <f aca="false">IF($A10&gt;PARAMETROS!$C$33,"",K9*(1+PARAMETROS!$C$36))</f>
        <v>26220.350178854</v>
      </c>
      <c r="L10" s="16" t="n">
        <f aca="false">IF($A10&gt;PARAMETROS!$C$33,"",L9*(1+PARAMETROS!$C$37)*(1+M10))</f>
        <v>6693.33320698725</v>
      </c>
      <c r="M10" s="17" t="n">
        <f aca="false">IF($A10&gt;PARAMETROS!$C$33,"",IF(C10&lt;70,PARAMETROS!$C$40,IF(C10&lt;75,PARAMETROS!$C$41,IF(C10&lt;80,PARAMETROS!$C$42,IF(C10&lt;85,PARAMETROS!$C$43,IF(C10&lt;90,PARAMETROS!$C$44,PARAMETROS!$C$45))))))</f>
        <v>0.00246626977230369</v>
      </c>
      <c r="N10" s="16" t="n">
        <f aca="false">IF($A10&gt;PARAMETROS!$C$33,"",K10+L10)</f>
        <v>32913.6833858413</v>
      </c>
      <c r="O10" s="16" t="n">
        <f aca="false">IF($A10&gt;PARAMETROS!$C$33,"",I10+J10-N10)</f>
        <v>1348.09688419258</v>
      </c>
      <c r="P10" s="16" t="n">
        <f aca="false">IF($A10&gt;PARAMETROS!$C$33,"",MAX(E10+I10+J10-N10,0))</f>
        <v>1014252.72238464</v>
      </c>
      <c r="Q10" s="18" t="str">
        <f aca="false">IF($A10&gt;PARAMETROS!$C$33,"",IF(P10&lt;=0,"AGOTADO","OK"))</f>
        <v>OK</v>
      </c>
    </row>
    <row r="11" customFormat="false" ht="15" hidden="false" customHeight="false" outlineLevel="0" collapsed="false">
      <c r="A11" s="15" t="n">
        <f aca="false">A10+1</f>
        <v>9</v>
      </c>
      <c r="B11" s="15" t="n">
        <f aca="false">IF($A11="","",ROUNDUP($A11/12,0))</f>
        <v>1</v>
      </c>
      <c r="C11" s="15" t="n">
        <f aca="false">IF($A11="","",PARAMETROS!$C$6+INT(($A11-1)/12))</f>
        <v>65</v>
      </c>
      <c r="D11" s="15" t="n">
        <f aca="false">IF($A11="","",MOD($A11-1,12)+1)</f>
        <v>9</v>
      </c>
      <c r="E11" s="16" t="n">
        <f aca="false">IF($A11&gt;PARAMETROS!$C$33,"",P10)</f>
        <v>1014252.72238464</v>
      </c>
      <c r="F11" s="17" t="n">
        <f aca="false">IF($A11&gt;PARAMETROS!$C$33,"",PARAMETROS!$C$38)</f>
        <v>0.00495440818448101</v>
      </c>
      <c r="G11" s="16" t="n">
        <f aca="false">IF($A11&gt;PARAMETROS!$C$33,"",E11*F11)</f>
        <v>5025.02198891461</v>
      </c>
      <c r="H11" s="16" t="n">
        <f aca="false">IF($A11&gt;PARAMETROS!$C$33,"",E11*PARAMETROS!$C$39)</f>
        <v>757.569622457742</v>
      </c>
      <c r="I11" s="16" t="n">
        <f aca="false">IF($A11&gt;PARAMETROS!$C$33,"",G11-H11)</f>
        <v>4267.45236645686</v>
      </c>
      <c r="J11" s="16" t="n">
        <f aca="false">IF($A11&gt;PARAMETROS!$C$33,"",PARAMETROS!$C$9*(1+PARAMETROS!$C$17)^(B11-1))</f>
        <v>30000</v>
      </c>
      <c r="K11" s="16" t="n">
        <f aca="false">IF($A11&gt;PARAMETROS!$C$33,"",K10*(1+PARAMETROS!$C$36))</f>
        <v>26310.1903813568</v>
      </c>
      <c r="L11" s="16" t="n">
        <f aca="false">IF($A11&gt;PARAMETROS!$C$33,"",L10*(1+PARAMETROS!$C$37)*(1+M11))</f>
        <v>6736.32138153968</v>
      </c>
      <c r="M11" s="17" t="n">
        <f aca="false">IF($A11&gt;PARAMETROS!$C$33,"",IF(C11&lt;70,PARAMETROS!$C$40,IF(C11&lt;75,PARAMETROS!$C$41,IF(C11&lt;80,PARAMETROS!$C$42,IF(C11&lt;85,PARAMETROS!$C$43,IF(C11&lt;90,PARAMETROS!$C$44,PARAMETROS!$C$45))))))</f>
        <v>0.00246626977230369</v>
      </c>
      <c r="N11" s="16" t="n">
        <f aca="false">IF($A11&gt;PARAMETROS!$C$33,"",K11+L11)</f>
        <v>33046.5117628965</v>
      </c>
      <c r="O11" s="16" t="n">
        <f aca="false">IF($A11&gt;PARAMETROS!$C$33,"",I11+J11-N11)</f>
        <v>1220.9406035604</v>
      </c>
      <c r="P11" s="16" t="n">
        <f aca="false">IF($A11&gt;PARAMETROS!$C$33,"",MAX(E11+I11+J11-N11,0))</f>
        <v>1015473.6629882</v>
      </c>
      <c r="Q11" s="18" t="str">
        <f aca="false">IF($A11&gt;PARAMETROS!$C$33,"",IF(P11&lt;=0,"AGOTADO","OK"))</f>
        <v>OK</v>
      </c>
    </row>
    <row r="12" customFormat="false" ht="15" hidden="false" customHeight="false" outlineLevel="0" collapsed="false">
      <c r="A12" s="15" t="n">
        <f aca="false">A11+1</f>
        <v>10</v>
      </c>
      <c r="B12" s="15" t="n">
        <f aca="false">IF($A12="","",ROUNDUP($A12/12,0))</f>
        <v>1</v>
      </c>
      <c r="C12" s="15" t="n">
        <f aca="false">IF($A12="","",PARAMETROS!$C$6+INT(($A12-1)/12))</f>
        <v>65</v>
      </c>
      <c r="D12" s="15" t="n">
        <f aca="false">IF($A12="","",MOD($A12-1,12)+1)</f>
        <v>10</v>
      </c>
      <c r="E12" s="16" t="n">
        <f aca="false">IF($A12&gt;PARAMETROS!$C$33,"",P11)</f>
        <v>1015473.6629882</v>
      </c>
      <c r="F12" s="17" t="n">
        <f aca="false">IF($A12&gt;PARAMETROS!$C$33,"",PARAMETROS!$C$38)</f>
        <v>0.00495440818448101</v>
      </c>
      <c r="G12" s="16" t="n">
        <f aca="false">IF($A12&gt;PARAMETROS!$C$33,"",E12*F12)</f>
        <v>5031.07102703365</v>
      </c>
      <c r="H12" s="16" t="n">
        <f aca="false">IF($A12&gt;PARAMETROS!$C$33,"",E12*PARAMETROS!$C$39)</f>
        <v>758.481572203273</v>
      </c>
      <c r="I12" s="16" t="n">
        <f aca="false">IF($A12&gt;PARAMETROS!$C$33,"",G12-H12)</f>
        <v>4272.58945483038</v>
      </c>
      <c r="J12" s="16" t="n">
        <f aca="false">IF($A12&gt;PARAMETROS!$C$33,"",PARAMETROS!$C$9*(1+PARAMETROS!$C$17)^(B12-1))</f>
        <v>30000</v>
      </c>
      <c r="K12" s="16" t="n">
        <f aca="false">IF($A12&gt;PARAMETROS!$C$33,"",K11*(1+PARAMETROS!$C$36))</f>
        <v>26400.3384081994</v>
      </c>
      <c r="L12" s="16" t="n">
        <f aca="false">IF($A12&gt;PARAMETROS!$C$33,"",L11*(1+PARAMETROS!$C$37)*(1+M12))</f>
        <v>6779.58564919763</v>
      </c>
      <c r="M12" s="17" t="n">
        <f aca="false">IF($A12&gt;PARAMETROS!$C$33,"",IF(C12&lt;70,PARAMETROS!$C$40,IF(C12&lt;75,PARAMETROS!$C$41,IF(C12&lt;80,PARAMETROS!$C$42,IF(C12&lt;85,PARAMETROS!$C$43,IF(C12&lt;90,PARAMETROS!$C$44,PARAMETROS!$C$45))))))</f>
        <v>0.00246626977230369</v>
      </c>
      <c r="N12" s="16" t="n">
        <f aca="false">IF($A12&gt;PARAMETROS!$C$33,"",K12+L12)</f>
        <v>33179.9240573971</v>
      </c>
      <c r="O12" s="16" t="n">
        <f aca="false">IF($A12&gt;PARAMETROS!$C$33,"",I12+J12-N12)</f>
        <v>1092.66539743331</v>
      </c>
      <c r="P12" s="16" t="n">
        <f aca="false">IF($A12&gt;PARAMETROS!$C$33,"",MAX(E12+I12+J12-N12,0))</f>
        <v>1016566.32838563</v>
      </c>
      <c r="Q12" s="18" t="str">
        <f aca="false">IF($A12&gt;PARAMETROS!$C$33,"",IF(P12&lt;=0,"AGOTADO","OK"))</f>
        <v>OK</v>
      </c>
    </row>
    <row r="13" customFormat="false" ht="15" hidden="false" customHeight="false" outlineLevel="0" collapsed="false">
      <c r="A13" s="15" t="n">
        <f aca="false">A12+1</f>
        <v>11</v>
      </c>
      <c r="B13" s="15" t="n">
        <f aca="false">IF($A13="","",ROUNDUP($A13/12,0))</f>
        <v>1</v>
      </c>
      <c r="C13" s="15" t="n">
        <f aca="false">IF($A13="","",PARAMETROS!$C$6+INT(($A13-1)/12))</f>
        <v>65</v>
      </c>
      <c r="D13" s="15" t="n">
        <f aca="false">IF($A13="","",MOD($A13-1,12)+1)</f>
        <v>11</v>
      </c>
      <c r="E13" s="16" t="n">
        <f aca="false">IF($A13&gt;PARAMETROS!$C$33,"",P12)</f>
        <v>1016566.32838563</v>
      </c>
      <c r="F13" s="17" t="n">
        <f aca="false">IF($A13&gt;PARAMETROS!$C$33,"",PARAMETROS!$C$38)</f>
        <v>0.00495440818448101</v>
      </c>
      <c r="G13" s="16" t="n">
        <f aca="false">IF($A13&gt;PARAMETROS!$C$33,"",E13*F13)</f>
        <v>5036.48453742159</v>
      </c>
      <c r="H13" s="16" t="n">
        <f aca="false">IF($A13&gt;PARAMETROS!$C$33,"",E13*PARAMETROS!$C$39)</f>
        <v>759.297710128602</v>
      </c>
      <c r="I13" s="16" t="n">
        <f aca="false">IF($A13&gt;PARAMETROS!$C$33,"",G13-H13)</f>
        <v>4277.18682729299</v>
      </c>
      <c r="J13" s="16" t="n">
        <f aca="false">IF($A13&gt;PARAMETROS!$C$33,"",PARAMETROS!$C$9*(1+PARAMETROS!$C$17)^(B13-1))</f>
        <v>30000</v>
      </c>
      <c r="K13" s="16" t="n">
        <f aca="false">IF($A13&gt;PARAMETROS!$C$33,"",K12*(1+PARAMETROS!$C$36))</f>
        <v>26490.7953140972</v>
      </c>
      <c r="L13" s="16" t="n">
        <f aca="false">IF($A13&gt;PARAMETROS!$C$33,"",L12*(1+PARAMETROS!$C$37)*(1+M13))</f>
        <v>6823.12778317904</v>
      </c>
      <c r="M13" s="17" t="n">
        <f aca="false">IF($A13&gt;PARAMETROS!$C$33,"",IF(C13&lt;70,PARAMETROS!$C$40,IF(C13&lt;75,PARAMETROS!$C$41,IF(C13&lt;80,PARAMETROS!$C$42,IF(C13&lt;85,PARAMETROS!$C$43,IF(C13&lt;90,PARAMETROS!$C$44,PARAMETROS!$C$45))))))</f>
        <v>0.00246626977230369</v>
      </c>
      <c r="N13" s="16" t="n">
        <f aca="false">IF($A13&gt;PARAMETROS!$C$33,"",K13+L13)</f>
        <v>33313.9230972762</v>
      </c>
      <c r="O13" s="16" t="n">
        <f aca="false">IF($A13&gt;PARAMETROS!$C$33,"",I13+J13-N13)</f>
        <v>963.263730016792</v>
      </c>
      <c r="P13" s="16" t="n">
        <f aca="false">IF($A13&gt;PARAMETROS!$C$33,"",MAX(E13+I13+J13-N13,0))</f>
        <v>1017529.59211565</v>
      </c>
      <c r="Q13" s="18" t="str">
        <f aca="false">IF($A13&gt;PARAMETROS!$C$33,"",IF(P13&lt;=0,"AGOTADO","OK"))</f>
        <v>OK</v>
      </c>
    </row>
    <row r="14" customFormat="false" ht="15" hidden="false" customHeight="false" outlineLevel="0" collapsed="false">
      <c r="A14" s="15" t="n">
        <f aca="false">A13+1</f>
        <v>12</v>
      </c>
      <c r="B14" s="15" t="n">
        <f aca="false">IF($A14="","",ROUNDUP($A14/12,0))</f>
        <v>1</v>
      </c>
      <c r="C14" s="15" t="n">
        <f aca="false">IF($A14="","",PARAMETROS!$C$6+INT(($A14-1)/12))</f>
        <v>65</v>
      </c>
      <c r="D14" s="15" t="n">
        <f aca="false">IF($A14="","",MOD($A14-1,12)+1)</f>
        <v>12</v>
      </c>
      <c r="E14" s="16" t="n">
        <f aca="false">IF($A14&gt;PARAMETROS!$C$33,"",P13)</f>
        <v>1017529.59211565</v>
      </c>
      <c r="F14" s="17" t="n">
        <f aca="false">IF($A14&gt;PARAMETROS!$C$33,"",PARAMETROS!$C$38)</f>
        <v>0.00495440818448101</v>
      </c>
      <c r="G14" s="16" t="n">
        <f aca="false">IF($A14&gt;PARAMETROS!$C$33,"",E14*F14)</f>
        <v>5041.2569391294</v>
      </c>
      <c r="H14" s="16" t="n">
        <f aca="false">IF($A14&gt;PARAMETROS!$C$33,"",E14*PARAMETROS!$C$39)</f>
        <v>760.017194852843</v>
      </c>
      <c r="I14" s="16" t="n">
        <f aca="false">IF($A14&gt;PARAMETROS!$C$33,"",G14-H14)</f>
        <v>4281.23974427656</v>
      </c>
      <c r="J14" s="16" t="n">
        <f aca="false">IF($A14&gt;PARAMETROS!$C$33,"",PARAMETROS!$C$9*(1+PARAMETROS!$C$17)^(B14-1))</f>
        <v>30000</v>
      </c>
      <c r="K14" s="16" t="n">
        <f aca="false">IF($A14&gt;PARAMETROS!$C$33,"",K13*(1+PARAMETROS!$C$36))</f>
        <v>26581.5621573789</v>
      </c>
      <c r="L14" s="16" t="n">
        <f aca="false">IF($A14&gt;PARAMETROS!$C$33,"",L13*(1+PARAMETROS!$C$37)*(1+M14))</f>
        <v>6866.94956809043</v>
      </c>
      <c r="M14" s="17" t="n">
        <f aca="false">IF($A14&gt;PARAMETROS!$C$33,"",IF(C14&lt;70,PARAMETROS!$C$40,IF(C14&lt;75,PARAMETROS!$C$41,IF(C14&lt;80,PARAMETROS!$C$42,IF(C14&lt;85,PARAMETROS!$C$43,IF(C14&lt;90,PARAMETROS!$C$44,PARAMETROS!$C$45))))))</f>
        <v>0.00246626977230369</v>
      </c>
      <c r="N14" s="16" t="n">
        <f aca="false">IF($A14&gt;PARAMETROS!$C$33,"",K14+L14)</f>
        <v>33448.5117254694</v>
      </c>
      <c r="O14" s="16" t="n">
        <f aca="false">IF($A14&gt;PARAMETROS!$C$33,"",I14+J14-N14)</f>
        <v>832.728018807182</v>
      </c>
      <c r="P14" s="16" t="n">
        <f aca="false">IF($A14&gt;PARAMETROS!$C$33,"",MAX(E14+I14+J14-N14,0))</f>
        <v>1018362.32013446</v>
      </c>
      <c r="Q14" s="18" t="str">
        <f aca="false">IF($A14&gt;PARAMETROS!$C$33,"",IF(P14&lt;=0,"AGOTADO","OK"))</f>
        <v>OK</v>
      </c>
    </row>
    <row r="15" customFormat="false" ht="15" hidden="false" customHeight="false" outlineLevel="0" collapsed="false">
      <c r="A15" s="19" t="n">
        <f aca="false">A14+1</f>
        <v>13</v>
      </c>
      <c r="B15" s="19" t="n">
        <f aca="false">IF($A15="","",ROUNDUP($A15/12,0))</f>
        <v>2</v>
      </c>
      <c r="C15" s="19" t="n">
        <f aca="false">IF($A15="","",PARAMETROS!$C$6+INT(($A15-1)/12))</f>
        <v>66</v>
      </c>
      <c r="D15" s="19" t="n">
        <f aca="false">IF($A15="","",MOD($A15-1,12)+1)</f>
        <v>1</v>
      </c>
      <c r="E15" s="20" t="n">
        <f aca="false">IF($A15&gt;PARAMETROS!$C$33,"",P14)</f>
        <v>1018362.32013446</v>
      </c>
      <c r="F15" s="21" t="n">
        <f aca="false">IF($A15&gt;PARAMETROS!$C$33,"",PARAMETROS!$C$38)</f>
        <v>0.00495440818448101</v>
      </c>
      <c r="G15" s="20" t="n">
        <f aca="false">IF($A15&gt;PARAMETROS!$C$33,"",E15*F15)</f>
        <v>5045.38261364123</v>
      </c>
      <c r="H15" s="20" t="n">
        <f aca="false">IF($A15&gt;PARAMETROS!$C$33,"",E15*PARAMETROS!$C$39)</f>
        <v>760.639179331558</v>
      </c>
      <c r="I15" s="20" t="n">
        <f aca="false">IF($A15&gt;PARAMETROS!$C$33,"",G15-H15)</f>
        <v>4284.74343430967</v>
      </c>
      <c r="J15" s="20" t="n">
        <f aca="false">IF($A15&gt;PARAMETROS!$C$33,"",PARAMETROS!$C$9*(1+PARAMETROS!$C$17)^(B15-1))</f>
        <v>31182</v>
      </c>
      <c r="K15" s="20" t="n">
        <f aca="false">IF($A15&gt;PARAMETROS!$C$33,"",K14*(1+PARAMETROS!$C$36))</f>
        <v>26672.64</v>
      </c>
      <c r="L15" s="20" t="n">
        <f aca="false">IF($A15&gt;PARAMETROS!$C$33,"",L14*(1+PARAMETROS!$C$37)*(1+M15))</f>
        <v>6911.05280000001</v>
      </c>
      <c r="M15" s="21" t="n">
        <f aca="false">IF($A15&gt;PARAMETROS!$C$33,"",IF(C15&lt;70,PARAMETROS!$C$40,IF(C15&lt;75,PARAMETROS!$C$41,IF(C15&lt;80,PARAMETROS!$C$42,IF(C15&lt;85,PARAMETROS!$C$43,IF(C15&lt;90,PARAMETROS!$C$44,PARAMETROS!$C$45))))))</f>
        <v>0.00246626977230369</v>
      </c>
      <c r="N15" s="20" t="n">
        <f aca="false">IF($A15&gt;PARAMETROS!$C$33,"",K15+L15)</f>
        <v>33583.6928</v>
      </c>
      <c r="O15" s="20" t="n">
        <f aca="false">IF($A15&gt;PARAMETROS!$C$33,"",I15+J15-N15)</f>
        <v>1883.05063430966</v>
      </c>
      <c r="P15" s="20" t="n">
        <f aca="false">IF($A15&gt;PARAMETROS!$C$33,"",MAX(E15+I15+J15-N15,0))</f>
        <v>1020245.37076877</v>
      </c>
      <c r="Q15" s="22" t="str">
        <f aca="false">IF($A15&gt;PARAMETROS!$C$33,"",IF(P15&lt;=0,"AGOTADO","OK"))</f>
        <v>OK</v>
      </c>
    </row>
    <row r="16" customFormat="false" ht="15" hidden="false" customHeight="false" outlineLevel="0" collapsed="false">
      <c r="A16" s="19" t="n">
        <f aca="false">A15+1</f>
        <v>14</v>
      </c>
      <c r="B16" s="19" t="n">
        <f aca="false">IF($A16="","",ROUNDUP($A16/12,0))</f>
        <v>2</v>
      </c>
      <c r="C16" s="19" t="n">
        <f aca="false">IF($A16="","",PARAMETROS!$C$6+INT(($A16-1)/12))</f>
        <v>66</v>
      </c>
      <c r="D16" s="19" t="n">
        <f aca="false">IF($A16="","",MOD($A16-1,12)+1)</f>
        <v>2</v>
      </c>
      <c r="E16" s="20" t="n">
        <f aca="false">IF($A16&gt;PARAMETROS!$C$33,"",P15)</f>
        <v>1020245.37076877</v>
      </c>
      <c r="F16" s="21" t="n">
        <f aca="false">IF($A16&gt;PARAMETROS!$C$33,"",PARAMETROS!$C$38)</f>
        <v>0.00495440818448101</v>
      </c>
      <c r="G16" s="20" t="n">
        <f aca="false">IF($A16&gt;PARAMETROS!$C$33,"",E16*F16)</f>
        <v>5054.71201511564</v>
      </c>
      <c r="H16" s="20" t="n">
        <f aca="false">IF($A16&gt;PARAMETROS!$C$33,"",E16*PARAMETROS!$C$39)</f>
        <v>762.045674898805</v>
      </c>
      <c r="I16" s="20" t="n">
        <f aca="false">IF($A16&gt;PARAMETROS!$C$33,"",G16-H16)</f>
        <v>4292.66634021684</v>
      </c>
      <c r="J16" s="20" t="n">
        <f aca="false">IF($A16&gt;PARAMETROS!$C$33,"",PARAMETROS!$C$9*(1+PARAMETROS!$C$17)^(B16-1))</f>
        <v>31182</v>
      </c>
      <c r="K16" s="20" t="n">
        <f aca="false">IF($A16&gt;PARAMETROS!$C$33,"",K15*(1+PARAMETROS!$C$36))</f>
        <v>26764.0299075542</v>
      </c>
      <c r="L16" s="20" t="n">
        <f aca="false">IF($A16&gt;PARAMETROS!$C$33,"",L15*(1+PARAMETROS!$C$37)*(1+M16))</f>
        <v>6955.4392865113</v>
      </c>
      <c r="M16" s="21" t="n">
        <f aca="false">IF($A16&gt;PARAMETROS!$C$33,"",IF(C16&lt;70,PARAMETROS!$C$40,IF(C16&lt;75,PARAMETROS!$C$41,IF(C16&lt;80,PARAMETROS!$C$42,IF(C16&lt;85,PARAMETROS!$C$43,IF(C16&lt;90,PARAMETROS!$C$44,PARAMETROS!$C$45))))))</f>
        <v>0.00246626977230369</v>
      </c>
      <c r="N16" s="20" t="n">
        <f aca="false">IF($A16&gt;PARAMETROS!$C$33,"",K16+L16)</f>
        <v>33719.4691940654</v>
      </c>
      <c r="O16" s="20" t="n">
        <f aca="false">IF($A16&gt;PARAMETROS!$C$33,"",I16+J16-N16)</f>
        <v>1755.1971461514</v>
      </c>
      <c r="P16" s="20" t="n">
        <f aca="false">IF($A16&gt;PARAMETROS!$C$33,"",MAX(E16+I16+J16-N16,0))</f>
        <v>1022000.56791492</v>
      </c>
      <c r="Q16" s="22" t="str">
        <f aca="false">IF($A16&gt;PARAMETROS!$C$33,"",IF(P16&lt;=0,"AGOTADO","OK"))</f>
        <v>OK</v>
      </c>
    </row>
    <row r="17" customFormat="false" ht="15" hidden="false" customHeight="false" outlineLevel="0" collapsed="false">
      <c r="A17" s="19" t="n">
        <f aca="false">A16+1</f>
        <v>15</v>
      </c>
      <c r="B17" s="19" t="n">
        <f aca="false">IF($A17="","",ROUNDUP($A17/12,0))</f>
        <v>2</v>
      </c>
      <c r="C17" s="19" t="n">
        <f aca="false">IF($A17="","",PARAMETROS!$C$6+INT(($A17-1)/12))</f>
        <v>66</v>
      </c>
      <c r="D17" s="19" t="n">
        <f aca="false">IF($A17="","",MOD($A17-1,12)+1)</f>
        <v>3</v>
      </c>
      <c r="E17" s="20" t="n">
        <f aca="false">IF($A17&gt;PARAMETROS!$C$33,"",P16)</f>
        <v>1022000.56791492</v>
      </c>
      <c r="F17" s="21" t="n">
        <f aca="false">IF($A17&gt;PARAMETROS!$C$33,"",PARAMETROS!$C$38)</f>
        <v>0.00495440818448101</v>
      </c>
      <c r="G17" s="20" t="n">
        <f aca="false">IF($A17&gt;PARAMETROS!$C$33,"",E17*F17)</f>
        <v>5063.40797822191</v>
      </c>
      <c r="H17" s="20" t="n">
        <f aca="false">IF($A17&gt;PARAMETROS!$C$33,"",E17*PARAMETROS!$C$39)</f>
        <v>763.356673637091</v>
      </c>
      <c r="I17" s="20" t="n">
        <f aca="false">IF($A17&gt;PARAMETROS!$C$33,"",G17-H17)</f>
        <v>4300.05130458482</v>
      </c>
      <c r="J17" s="20" t="n">
        <f aca="false">IF($A17&gt;PARAMETROS!$C$33,"",PARAMETROS!$C$9*(1+PARAMETROS!$C$17)^(B17-1))</f>
        <v>31182</v>
      </c>
      <c r="K17" s="20" t="n">
        <f aca="false">IF($A17&gt;PARAMETROS!$C$33,"",K16*(1+PARAMETROS!$C$36))</f>
        <v>26855.7329492864</v>
      </c>
      <c r="L17" s="20" t="n">
        <f aca="false">IF($A17&gt;PARAMETROS!$C$33,"",L16*(1+PARAMETROS!$C$37)*(1+M17))</f>
        <v>7000.11084683722</v>
      </c>
      <c r="M17" s="21" t="n">
        <f aca="false">IF($A17&gt;PARAMETROS!$C$33,"",IF(C17&lt;70,PARAMETROS!$C$40,IF(C17&lt;75,PARAMETROS!$C$41,IF(C17&lt;80,PARAMETROS!$C$42,IF(C17&lt;85,PARAMETROS!$C$43,IF(C17&lt;90,PARAMETROS!$C$44,PARAMETROS!$C$45))))))</f>
        <v>0.00246626977230369</v>
      </c>
      <c r="N17" s="20" t="n">
        <f aca="false">IF($A17&gt;PARAMETROS!$C$33,"",K17+L17)</f>
        <v>33855.8437961236</v>
      </c>
      <c r="O17" s="20" t="n">
        <f aca="false">IF($A17&gt;PARAMETROS!$C$33,"",I17+J17-N17)</f>
        <v>1626.20750846124</v>
      </c>
      <c r="P17" s="20" t="n">
        <f aca="false">IF($A17&gt;PARAMETROS!$C$33,"",MAX(E17+I17+J17-N17,0))</f>
        <v>1023626.77542338</v>
      </c>
      <c r="Q17" s="22" t="str">
        <f aca="false">IF($A17&gt;PARAMETROS!$C$33,"",IF(P17&lt;=0,"AGOTADO","OK"))</f>
        <v>OK</v>
      </c>
    </row>
    <row r="18" customFormat="false" ht="15" hidden="false" customHeight="false" outlineLevel="0" collapsed="false">
      <c r="A18" s="19" t="n">
        <f aca="false">A17+1</f>
        <v>16</v>
      </c>
      <c r="B18" s="19" t="n">
        <f aca="false">IF($A18="","",ROUNDUP($A18/12,0))</f>
        <v>2</v>
      </c>
      <c r="C18" s="19" t="n">
        <f aca="false">IF($A18="","",PARAMETROS!$C$6+INT(($A18-1)/12))</f>
        <v>66</v>
      </c>
      <c r="D18" s="19" t="n">
        <f aca="false">IF($A18="","",MOD($A18-1,12)+1)</f>
        <v>4</v>
      </c>
      <c r="E18" s="20" t="n">
        <f aca="false">IF($A18&gt;PARAMETROS!$C$33,"",P17)</f>
        <v>1023626.77542338</v>
      </c>
      <c r="F18" s="21" t="n">
        <f aca="false">IF($A18&gt;PARAMETROS!$C$33,"",PARAMETROS!$C$38)</f>
        <v>0.00495440818448101</v>
      </c>
      <c r="G18" s="20" t="n">
        <f aca="false">IF($A18&gt;PARAMETROS!$C$33,"",E18*F18)</f>
        <v>5071.4648740115</v>
      </c>
      <c r="H18" s="20" t="n">
        <f aca="false">IF($A18&gt;PARAMETROS!$C$33,"",E18*PARAMETROS!$C$39)</f>
        <v>764.571326929149</v>
      </c>
      <c r="I18" s="20" t="n">
        <f aca="false">IF($A18&gt;PARAMETROS!$C$33,"",G18-H18)</f>
        <v>4306.89354708235</v>
      </c>
      <c r="J18" s="20" t="n">
        <f aca="false">IF($A18&gt;PARAMETROS!$C$33,"",PARAMETROS!$C$9*(1+PARAMETROS!$C$17)^(B18-1))</f>
        <v>31182</v>
      </c>
      <c r="K18" s="20" t="n">
        <f aca="false">IF($A18&gt;PARAMETROS!$C$33,"",K17*(1+PARAMETROS!$C$36))</f>
        <v>26947.7501981052</v>
      </c>
      <c r="L18" s="20" t="n">
        <f aca="false">IF($A18&gt;PARAMETROS!$C$33,"",L17*(1+PARAMETROS!$C$37)*(1+M18))</f>
        <v>7045.06931187465</v>
      </c>
      <c r="M18" s="21" t="n">
        <f aca="false">IF($A18&gt;PARAMETROS!$C$33,"",IF(C18&lt;70,PARAMETROS!$C$40,IF(C18&lt;75,PARAMETROS!$C$41,IF(C18&lt;80,PARAMETROS!$C$42,IF(C18&lt;85,PARAMETROS!$C$43,IF(C18&lt;90,PARAMETROS!$C$44,PARAMETROS!$C$45))))))</f>
        <v>0.00246626977230369</v>
      </c>
      <c r="N18" s="20" t="n">
        <f aca="false">IF($A18&gt;PARAMETROS!$C$33,"",K18+L18)</f>
        <v>33992.8195099798</v>
      </c>
      <c r="O18" s="20" t="n">
        <f aca="false">IF($A18&gt;PARAMETROS!$C$33,"",I18+J18-N18)</f>
        <v>1496.07403710254</v>
      </c>
      <c r="P18" s="20" t="n">
        <f aca="false">IF($A18&gt;PARAMETROS!$C$33,"",MAX(E18+I18+J18-N18,0))</f>
        <v>1025122.84946048</v>
      </c>
      <c r="Q18" s="22" t="str">
        <f aca="false">IF($A18&gt;PARAMETROS!$C$33,"",IF(P18&lt;=0,"AGOTADO","OK"))</f>
        <v>OK</v>
      </c>
    </row>
    <row r="19" customFormat="false" ht="15" hidden="false" customHeight="false" outlineLevel="0" collapsed="false">
      <c r="A19" s="19" t="n">
        <f aca="false">A18+1</f>
        <v>17</v>
      </c>
      <c r="B19" s="19" t="n">
        <f aca="false">IF($A19="","",ROUNDUP($A19/12,0))</f>
        <v>2</v>
      </c>
      <c r="C19" s="19" t="n">
        <f aca="false">IF($A19="","",PARAMETROS!$C$6+INT(($A19-1)/12))</f>
        <v>66</v>
      </c>
      <c r="D19" s="19" t="n">
        <f aca="false">IF($A19="","",MOD($A19-1,12)+1)</f>
        <v>5</v>
      </c>
      <c r="E19" s="20" t="n">
        <f aca="false">IF($A19&gt;PARAMETROS!$C$33,"",P18)</f>
        <v>1025122.84946048</v>
      </c>
      <c r="F19" s="21" t="n">
        <f aca="false">IF($A19&gt;PARAMETROS!$C$33,"",PARAMETROS!$C$38)</f>
        <v>0.00495440818448101</v>
      </c>
      <c r="G19" s="20" t="n">
        <f aca="false">IF($A19&gt;PARAMETROS!$C$33,"",E19*F19)</f>
        <v>5078.87703546551</v>
      </c>
      <c r="H19" s="20" t="n">
        <f aca="false">IF($A19&gt;PARAMETROS!$C$33,"",E19*PARAMETROS!$C$39)</f>
        <v>765.688780418247</v>
      </c>
      <c r="I19" s="20" t="n">
        <f aca="false">IF($A19&gt;PARAMETROS!$C$33,"",G19-H19)</f>
        <v>4313.18825504726</v>
      </c>
      <c r="J19" s="20" t="n">
        <f aca="false">IF($A19&gt;PARAMETROS!$C$33,"",PARAMETROS!$C$9*(1+PARAMETROS!$C$17)^(B19-1))</f>
        <v>31182</v>
      </c>
      <c r="K19" s="20" t="n">
        <f aca="false">IF($A19&gt;PARAMETROS!$C$33,"",K18*(1+PARAMETROS!$C$36))</f>
        <v>27040.0827305953</v>
      </c>
      <c r="L19" s="20" t="n">
        <f aca="false">IF($A19&gt;PARAMETROS!$C$33,"",L18*(1+PARAMETROS!$C$37)*(1+M19))</f>
        <v>7090.31652427948</v>
      </c>
      <c r="M19" s="21" t="n">
        <f aca="false">IF($A19&gt;PARAMETROS!$C$33,"",IF(C19&lt;70,PARAMETROS!$C$40,IF(C19&lt;75,PARAMETROS!$C$41,IF(C19&lt;80,PARAMETROS!$C$42,IF(C19&lt;85,PARAMETROS!$C$43,IF(C19&lt;90,PARAMETROS!$C$44,PARAMETROS!$C$45))))))</f>
        <v>0.00246626977230369</v>
      </c>
      <c r="N19" s="20" t="n">
        <f aca="false">IF($A19&gt;PARAMETROS!$C$33,"",K19+L19)</f>
        <v>34130.3992548748</v>
      </c>
      <c r="O19" s="20" t="n">
        <f aca="false">IF($A19&gt;PARAMETROS!$C$33,"",I19+J19-N19)</f>
        <v>1364.7890001725</v>
      </c>
      <c r="P19" s="20" t="n">
        <f aca="false">IF($A19&gt;PARAMETROS!$C$33,"",MAX(E19+I19+J19-N19,0))</f>
        <v>1026487.63846066</v>
      </c>
      <c r="Q19" s="22" t="str">
        <f aca="false">IF($A19&gt;PARAMETROS!$C$33,"",IF(P19&lt;=0,"AGOTADO","OK"))</f>
        <v>OK</v>
      </c>
    </row>
    <row r="20" customFormat="false" ht="15" hidden="false" customHeight="false" outlineLevel="0" collapsed="false">
      <c r="A20" s="19" t="n">
        <f aca="false">A19+1</f>
        <v>18</v>
      </c>
      <c r="B20" s="19" t="n">
        <f aca="false">IF($A20="","",ROUNDUP($A20/12,0))</f>
        <v>2</v>
      </c>
      <c r="C20" s="19" t="n">
        <f aca="false">IF($A20="","",PARAMETROS!$C$6+INT(($A20-1)/12))</f>
        <v>66</v>
      </c>
      <c r="D20" s="19" t="n">
        <f aca="false">IF($A20="","",MOD($A20-1,12)+1)</f>
        <v>6</v>
      </c>
      <c r="E20" s="20" t="n">
        <f aca="false">IF($A20&gt;PARAMETROS!$C$33,"",P19)</f>
        <v>1026487.63846066</v>
      </c>
      <c r="F20" s="21" t="n">
        <f aca="false">IF($A20&gt;PARAMETROS!$C$33,"",PARAMETROS!$C$38)</f>
        <v>0.00495440818448101</v>
      </c>
      <c r="G20" s="20" t="n">
        <f aca="false">IF($A20&gt;PARAMETROS!$C$33,"",E20*F20)</f>
        <v>5085.63875725805</v>
      </c>
      <c r="H20" s="20" t="n">
        <f aca="false">IF($A20&gt;PARAMETROS!$C$33,"",E20*PARAMETROS!$C$39)</f>
        <v>766.708173972513</v>
      </c>
      <c r="I20" s="20" t="n">
        <f aca="false">IF($A20&gt;PARAMETROS!$C$33,"",G20-H20)</f>
        <v>4318.93058328554</v>
      </c>
      <c r="J20" s="20" t="n">
        <f aca="false">IF($A20&gt;PARAMETROS!$C$33,"",PARAMETROS!$C$9*(1+PARAMETROS!$C$17)^(B20-1))</f>
        <v>31182</v>
      </c>
      <c r="K20" s="20" t="n">
        <f aca="false">IF($A20&gt;PARAMETROS!$C$33,"",K19*(1+PARAMETROS!$C$36))</f>
        <v>27132.7316270302</v>
      </c>
      <c r="L20" s="20" t="n">
        <f aca="false">IF($A20&gt;PARAMETROS!$C$33,"",L19*(1+PARAMETROS!$C$37)*(1+M20))</f>
        <v>7135.85433854212</v>
      </c>
      <c r="M20" s="21" t="n">
        <f aca="false">IF($A20&gt;PARAMETROS!$C$33,"",IF(C20&lt;70,PARAMETROS!$C$40,IF(C20&lt;75,PARAMETROS!$C$41,IF(C20&lt;80,PARAMETROS!$C$42,IF(C20&lt;85,PARAMETROS!$C$43,IF(C20&lt;90,PARAMETROS!$C$44,PARAMETROS!$C$45))))))</f>
        <v>0.00246626977230369</v>
      </c>
      <c r="N20" s="20" t="n">
        <f aca="false">IF($A20&gt;PARAMETROS!$C$33,"",K20+L20)</f>
        <v>34268.5859655723</v>
      </c>
      <c r="O20" s="20" t="n">
        <f aca="false">IF($A20&gt;PARAMETROS!$C$33,"",I20+J20-N20)</f>
        <v>1232.34461771322</v>
      </c>
      <c r="P20" s="20" t="n">
        <f aca="false">IF($A20&gt;PARAMETROS!$C$33,"",MAX(E20+I20+J20-N20,0))</f>
        <v>1027719.98307837</v>
      </c>
      <c r="Q20" s="22" t="str">
        <f aca="false">IF($A20&gt;PARAMETROS!$C$33,"",IF(P20&lt;=0,"AGOTADO","OK"))</f>
        <v>OK</v>
      </c>
    </row>
    <row r="21" customFormat="false" ht="15" hidden="false" customHeight="false" outlineLevel="0" collapsed="false">
      <c r="A21" s="19" t="n">
        <f aca="false">A20+1</f>
        <v>19</v>
      </c>
      <c r="B21" s="19" t="n">
        <f aca="false">IF($A21="","",ROUNDUP($A21/12,0))</f>
        <v>2</v>
      </c>
      <c r="C21" s="19" t="n">
        <f aca="false">IF($A21="","",PARAMETROS!$C$6+INT(($A21-1)/12))</f>
        <v>66</v>
      </c>
      <c r="D21" s="19" t="n">
        <f aca="false">IF($A21="","",MOD($A21-1,12)+1)</f>
        <v>7</v>
      </c>
      <c r="E21" s="20" t="n">
        <f aca="false">IF($A21&gt;PARAMETROS!$C$33,"",P20)</f>
        <v>1027719.98307837</v>
      </c>
      <c r="F21" s="21" t="n">
        <f aca="false">IF($A21&gt;PARAMETROS!$C$33,"",PARAMETROS!$C$38)</f>
        <v>0.00495440818448101</v>
      </c>
      <c r="G21" s="20" t="n">
        <f aca="false">IF($A21&gt;PARAMETROS!$C$33,"",E21*F21)</f>
        <v>5091.74429551815</v>
      </c>
      <c r="H21" s="20" t="n">
        <f aca="false">IF($A21&gt;PARAMETROS!$C$33,"",E21*PARAMETROS!$C$39)</f>
        <v>767.628641649034</v>
      </c>
      <c r="I21" s="20" t="n">
        <f aca="false">IF($A21&gt;PARAMETROS!$C$33,"",G21-H21)</f>
        <v>4324.11565386912</v>
      </c>
      <c r="J21" s="20" t="n">
        <f aca="false">IF($A21&gt;PARAMETROS!$C$33,"",PARAMETROS!$C$9*(1+PARAMETROS!$C$17)^(B21-1))</f>
        <v>31182</v>
      </c>
      <c r="K21" s="20" t="n">
        <f aca="false">IF($A21&gt;PARAMETROS!$C$33,"",K20*(1+PARAMETROS!$C$36))</f>
        <v>27225.6979713848</v>
      </c>
      <c r="L21" s="20" t="n">
        <f aca="false">IF($A21&gt;PARAMETROS!$C$33,"",L20*(1+PARAMETROS!$C$37)*(1+M21))</f>
        <v>7181.68462106351</v>
      </c>
      <c r="M21" s="21" t="n">
        <f aca="false">IF($A21&gt;PARAMETROS!$C$33,"",IF(C21&lt;70,PARAMETROS!$C$40,IF(C21&lt;75,PARAMETROS!$C$41,IF(C21&lt;80,PARAMETROS!$C$42,IF(C21&lt;85,PARAMETROS!$C$43,IF(C21&lt;90,PARAMETROS!$C$44,PARAMETROS!$C$45))))))</f>
        <v>0.00246626977230369</v>
      </c>
      <c r="N21" s="20" t="n">
        <f aca="false">IF($A21&gt;PARAMETROS!$C$33,"",K21+L21)</f>
        <v>34407.3825924483</v>
      </c>
      <c r="O21" s="20" t="n">
        <f aca="false">IF($A21&gt;PARAMETROS!$C$33,"",I21+J21-N21)</f>
        <v>1098.73306142083</v>
      </c>
      <c r="P21" s="20" t="n">
        <f aca="false">IF($A21&gt;PARAMETROS!$C$33,"",MAX(E21+I21+J21-N21,0))</f>
        <v>1028818.71613979</v>
      </c>
      <c r="Q21" s="22" t="str">
        <f aca="false">IF($A21&gt;PARAMETROS!$C$33,"",IF(P21&lt;=0,"AGOTADO","OK"))</f>
        <v>OK</v>
      </c>
    </row>
    <row r="22" customFormat="false" ht="15" hidden="false" customHeight="false" outlineLevel="0" collapsed="false">
      <c r="A22" s="19" t="n">
        <f aca="false">A21+1</f>
        <v>20</v>
      </c>
      <c r="B22" s="19" t="n">
        <f aca="false">IF($A22="","",ROUNDUP($A22/12,0))</f>
        <v>2</v>
      </c>
      <c r="C22" s="19" t="n">
        <f aca="false">IF($A22="","",PARAMETROS!$C$6+INT(($A22-1)/12))</f>
        <v>66</v>
      </c>
      <c r="D22" s="19" t="n">
        <f aca="false">IF($A22="","",MOD($A22-1,12)+1)</f>
        <v>8</v>
      </c>
      <c r="E22" s="20" t="n">
        <f aca="false">IF($A22&gt;PARAMETROS!$C$33,"",P21)</f>
        <v>1028818.71613979</v>
      </c>
      <c r="F22" s="21" t="n">
        <f aca="false">IF($A22&gt;PARAMETROS!$C$33,"",PARAMETROS!$C$38)</f>
        <v>0.00495440818448101</v>
      </c>
      <c r="G22" s="20" t="n">
        <f aca="false">IF($A22&gt;PARAMETROS!$C$33,"",E22*F22)</f>
        <v>5097.18786759022</v>
      </c>
      <c r="H22" s="20" t="n">
        <f aca="false">IF($A22&gt;PARAMETROS!$C$33,"",E22*PARAMETROS!$C$39)</f>
        <v>768.449311657753</v>
      </c>
      <c r="I22" s="20" t="n">
        <f aca="false">IF($A22&gt;PARAMETROS!$C$33,"",G22-H22)</f>
        <v>4328.73855593246</v>
      </c>
      <c r="J22" s="20" t="n">
        <f aca="false">IF($A22&gt;PARAMETROS!$C$33,"",PARAMETROS!$C$9*(1+PARAMETROS!$C$17)^(B22-1))</f>
        <v>31182</v>
      </c>
      <c r="K22" s="20" t="n">
        <f aca="false">IF($A22&gt;PARAMETROS!$C$33,"",K21*(1+PARAMETROS!$C$36))</f>
        <v>27318.982851348</v>
      </c>
      <c r="L22" s="20" t="n">
        <f aca="false">IF($A22&gt;PARAMETROS!$C$33,"",L21*(1+PARAMETROS!$C$37)*(1+M22))</f>
        <v>7227.8092502316</v>
      </c>
      <c r="M22" s="21" t="n">
        <f aca="false">IF($A22&gt;PARAMETROS!$C$33,"",IF(C22&lt;70,PARAMETROS!$C$40,IF(C22&lt;75,PARAMETROS!$C$41,IF(C22&lt;80,PARAMETROS!$C$42,IF(C22&lt;85,PARAMETROS!$C$43,IF(C22&lt;90,PARAMETROS!$C$44,PARAMETROS!$C$45))))))</f>
        <v>0.00246626977230369</v>
      </c>
      <c r="N22" s="20" t="n">
        <f aca="false">IF($A22&gt;PARAMETROS!$C$33,"",K22+L22)</f>
        <v>34546.7921015796</v>
      </c>
      <c r="O22" s="20" t="n">
        <f aca="false">IF($A22&gt;PARAMETROS!$C$33,"",I22+J22-N22)</f>
        <v>963.946454352845</v>
      </c>
      <c r="P22" s="20" t="n">
        <f aca="false">IF($A22&gt;PARAMETROS!$C$33,"",MAX(E22+I22+J22-N22,0))</f>
        <v>1029782.66259414</v>
      </c>
      <c r="Q22" s="22" t="str">
        <f aca="false">IF($A22&gt;PARAMETROS!$C$33,"",IF(P22&lt;=0,"AGOTADO","OK"))</f>
        <v>OK</v>
      </c>
    </row>
    <row r="23" customFormat="false" ht="15" hidden="false" customHeight="false" outlineLevel="0" collapsed="false">
      <c r="A23" s="19" t="n">
        <f aca="false">A22+1</f>
        <v>21</v>
      </c>
      <c r="B23" s="19" t="n">
        <f aca="false">IF($A23="","",ROUNDUP($A23/12,0))</f>
        <v>2</v>
      </c>
      <c r="C23" s="19" t="n">
        <f aca="false">IF($A23="","",PARAMETROS!$C$6+INT(($A23-1)/12))</f>
        <v>66</v>
      </c>
      <c r="D23" s="19" t="n">
        <f aca="false">IF($A23="","",MOD($A23-1,12)+1)</f>
        <v>9</v>
      </c>
      <c r="E23" s="20" t="n">
        <f aca="false">IF($A23&gt;PARAMETROS!$C$33,"",P22)</f>
        <v>1029782.66259414</v>
      </c>
      <c r="F23" s="21" t="n">
        <f aca="false">IF($A23&gt;PARAMETROS!$C$33,"",PARAMETROS!$C$38)</f>
        <v>0.00495440818448101</v>
      </c>
      <c r="G23" s="20" t="n">
        <f aca="false">IF($A23&gt;PARAMETROS!$C$33,"",E23*F23)</f>
        <v>5101.96365179306</v>
      </c>
      <c r="H23" s="20" t="n">
        <f aca="false">IF($A23&gt;PARAMETROS!$C$33,"",E23*PARAMETROS!$C$39)</f>
        <v>769.169306325134</v>
      </c>
      <c r="I23" s="20" t="n">
        <f aca="false">IF($A23&gt;PARAMETROS!$C$33,"",G23-H23)</f>
        <v>4332.79434546793</v>
      </c>
      <c r="J23" s="20" t="n">
        <f aca="false">IF($A23&gt;PARAMETROS!$C$33,"",PARAMETROS!$C$9*(1+PARAMETROS!$C$17)^(B23-1))</f>
        <v>31182</v>
      </c>
      <c r="K23" s="20" t="n">
        <f aca="false">IF($A23&gt;PARAMETROS!$C$33,"",K22*(1+PARAMETROS!$C$36))</f>
        <v>27412.5873583356</v>
      </c>
      <c r="L23" s="20" t="n">
        <f aca="false">IF($A23&gt;PARAMETROS!$C$33,"",L22*(1+PARAMETROS!$C$37)*(1+M23))</f>
        <v>7274.2301164984</v>
      </c>
      <c r="M23" s="21" t="n">
        <f aca="false">IF($A23&gt;PARAMETROS!$C$33,"",IF(C23&lt;70,PARAMETROS!$C$40,IF(C23&lt;75,PARAMETROS!$C$41,IF(C23&lt;80,PARAMETROS!$C$42,IF(C23&lt;85,PARAMETROS!$C$43,IF(C23&lt;90,PARAMETROS!$C$44,PARAMETROS!$C$45))))))</f>
        <v>0.00246626977230369</v>
      </c>
      <c r="N23" s="20" t="n">
        <f aca="false">IF($A23&gt;PARAMETROS!$C$33,"",K23+L23)</f>
        <v>34686.817474834</v>
      </c>
      <c r="O23" s="20" t="n">
        <f aca="false">IF($A23&gt;PARAMETROS!$C$33,"",I23+J23-N23)</f>
        <v>827.976870633895</v>
      </c>
      <c r="P23" s="20" t="n">
        <f aca="false">IF($A23&gt;PARAMETROS!$C$33,"",MAX(E23+I23+J23-N23,0))</f>
        <v>1030610.63946478</v>
      </c>
      <c r="Q23" s="22" t="str">
        <f aca="false">IF($A23&gt;PARAMETROS!$C$33,"",IF(P23&lt;=0,"AGOTADO","OK"))</f>
        <v>OK</v>
      </c>
    </row>
    <row r="24" customFormat="false" ht="15" hidden="false" customHeight="false" outlineLevel="0" collapsed="false">
      <c r="A24" s="19" t="n">
        <f aca="false">A23+1</f>
        <v>22</v>
      </c>
      <c r="B24" s="19" t="n">
        <f aca="false">IF($A24="","",ROUNDUP($A24/12,0))</f>
        <v>2</v>
      </c>
      <c r="C24" s="19" t="n">
        <f aca="false">IF($A24="","",PARAMETROS!$C$6+INT(($A24-1)/12))</f>
        <v>66</v>
      </c>
      <c r="D24" s="19" t="n">
        <f aca="false">IF($A24="","",MOD($A24-1,12)+1)</f>
        <v>10</v>
      </c>
      <c r="E24" s="20" t="n">
        <f aca="false">IF($A24&gt;PARAMETROS!$C$33,"",P23)</f>
        <v>1030610.63946478</v>
      </c>
      <c r="F24" s="21" t="n">
        <f aca="false">IF($A24&gt;PARAMETROS!$C$33,"",PARAMETROS!$C$38)</f>
        <v>0.00495440818448101</v>
      </c>
      <c r="G24" s="20" t="n">
        <f aca="false">IF($A24&gt;PARAMETROS!$C$33,"",E24*F24)</f>
        <v>5106.06578717749</v>
      </c>
      <c r="H24" s="20" t="n">
        <f aca="false">IF($A24&gt;PARAMETROS!$C$33,"",E24*PARAMETROS!$C$39)</f>
        <v>769.787742057616</v>
      </c>
      <c r="I24" s="20" t="n">
        <f aca="false">IF($A24&gt;PARAMETROS!$C$33,"",G24-H24)</f>
        <v>4336.27804511988</v>
      </c>
      <c r="J24" s="20" t="n">
        <f aca="false">IF($A24&gt;PARAMETROS!$C$33,"",PARAMETROS!$C$9*(1+PARAMETROS!$C$17)^(B24-1))</f>
        <v>31182</v>
      </c>
      <c r="K24" s="20" t="n">
        <f aca="false">IF($A24&gt;PARAMETROS!$C$33,"",K23*(1+PARAMETROS!$C$36))</f>
        <v>27506.512587503</v>
      </c>
      <c r="L24" s="20" t="n">
        <f aca="false">IF($A24&gt;PARAMETROS!$C$33,"",L23*(1+PARAMETROS!$C$37)*(1+M24))</f>
        <v>7320.94912245737</v>
      </c>
      <c r="M24" s="21" t="n">
        <f aca="false">IF($A24&gt;PARAMETROS!$C$33,"",IF(C24&lt;70,PARAMETROS!$C$40,IF(C24&lt;75,PARAMETROS!$C$41,IF(C24&lt;80,PARAMETROS!$C$42,IF(C24&lt;85,PARAMETROS!$C$43,IF(C24&lt;90,PARAMETROS!$C$44,PARAMETROS!$C$45))))))</f>
        <v>0.00246626977230369</v>
      </c>
      <c r="N24" s="20" t="n">
        <f aca="false">IF($A24&gt;PARAMETROS!$C$33,"",K24+L24)</f>
        <v>34827.4617099604</v>
      </c>
      <c r="O24" s="20" t="n">
        <f aca="false">IF($A24&gt;PARAMETROS!$C$33,"",I24+J24-N24)</f>
        <v>690.816335159507</v>
      </c>
      <c r="P24" s="20" t="n">
        <f aca="false">IF($A24&gt;PARAMETROS!$C$33,"",MAX(E24+I24+J24-N24,0))</f>
        <v>1031301.45579994</v>
      </c>
      <c r="Q24" s="22" t="str">
        <f aca="false">IF($A24&gt;PARAMETROS!$C$33,"",IF(P24&lt;=0,"AGOTADO","OK"))</f>
        <v>OK</v>
      </c>
    </row>
    <row r="25" customFormat="false" ht="15" hidden="false" customHeight="false" outlineLevel="0" collapsed="false">
      <c r="A25" s="19" t="n">
        <f aca="false">A24+1</f>
        <v>23</v>
      </c>
      <c r="B25" s="19" t="n">
        <f aca="false">IF($A25="","",ROUNDUP($A25/12,0))</f>
        <v>2</v>
      </c>
      <c r="C25" s="19" t="n">
        <f aca="false">IF($A25="","",PARAMETROS!$C$6+INT(($A25-1)/12))</f>
        <v>66</v>
      </c>
      <c r="D25" s="19" t="n">
        <f aca="false">IF($A25="","",MOD($A25-1,12)+1)</f>
        <v>11</v>
      </c>
      <c r="E25" s="20" t="n">
        <f aca="false">IF($A25&gt;PARAMETROS!$C$33,"",P24)</f>
        <v>1031301.45579994</v>
      </c>
      <c r="F25" s="21" t="n">
        <f aca="false">IF($A25&gt;PARAMETROS!$C$33,"",PARAMETROS!$C$38)</f>
        <v>0.00495440818448101</v>
      </c>
      <c r="G25" s="20" t="n">
        <f aca="false">IF($A25&gt;PARAMETROS!$C$33,"",E25*F25)</f>
        <v>5109.48837328238</v>
      </c>
      <c r="H25" s="20" t="n">
        <f aca="false">IF($A25&gt;PARAMETROS!$C$33,"",E25*PARAMETROS!$C$39)</f>
        <v>770.303729304842</v>
      </c>
      <c r="I25" s="20" t="n">
        <f aca="false">IF($A25&gt;PARAMETROS!$C$33,"",G25-H25)</f>
        <v>4339.18464397754</v>
      </c>
      <c r="J25" s="20" t="n">
        <f aca="false">IF($A25&gt;PARAMETROS!$C$33,"",PARAMETROS!$C$9*(1+PARAMETROS!$C$17)^(B25-1))</f>
        <v>31182</v>
      </c>
      <c r="K25" s="20" t="n">
        <f aca="false">IF($A25&gt;PARAMETROS!$C$33,"",K24*(1+PARAMETROS!$C$36))</f>
        <v>27600.7596377578</v>
      </c>
      <c r="L25" s="20" t="n">
        <f aca="false">IF($A25&gt;PARAMETROS!$C$33,"",L24*(1+PARAMETROS!$C$37)*(1+M25))</f>
        <v>7367.96818292147</v>
      </c>
      <c r="M25" s="21" t="n">
        <f aca="false">IF($A25&gt;PARAMETROS!$C$33,"",IF(C25&lt;70,PARAMETROS!$C$40,IF(C25&lt;75,PARAMETROS!$C$41,IF(C25&lt;80,PARAMETROS!$C$42,IF(C25&lt;85,PARAMETROS!$C$43,IF(C25&lt;90,PARAMETROS!$C$44,PARAMETROS!$C$45))))))</f>
        <v>0.00246626977230369</v>
      </c>
      <c r="N25" s="20" t="n">
        <f aca="false">IF($A25&gt;PARAMETROS!$C$33,"",K25+L25)</f>
        <v>34968.7278206793</v>
      </c>
      <c r="O25" s="20" t="n">
        <f aca="false">IF($A25&gt;PARAMETROS!$C$33,"",I25+J25-N25)</f>
        <v>552.456823298242</v>
      </c>
      <c r="P25" s="20" t="n">
        <f aca="false">IF($A25&gt;PARAMETROS!$C$33,"",MAX(E25+I25+J25-N25,0))</f>
        <v>1031853.91262323</v>
      </c>
      <c r="Q25" s="22" t="str">
        <f aca="false">IF($A25&gt;PARAMETROS!$C$33,"",IF(P25&lt;=0,"AGOTADO","OK"))</f>
        <v>OK</v>
      </c>
    </row>
    <row r="26" customFormat="false" ht="15" hidden="false" customHeight="false" outlineLevel="0" collapsed="false">
      <c r="A26" s="19" t="n">
        <f aca="false">A25+1</f>
        <v>24</v>
      </c>
      <c r="B26" s="19" t="n">
        <f aca="false">IF($A26="","",ROUNDUP($A26/12,0))</f>
        <v>2</v>
      </c>
      <c r="C26" s="19" t="n">
        <f aca="false">IF($A26="","",PARAMETROS!$C$6+INT(($A26-1)/12))</f>
        <v>66</v>
      </c>
      <c r="D26" s="19" t="n">
        <f aca="false">IF($A26="","",MOD($A26-1,12)+1)</f>
        <v>12</v>
      </c>
      <c r="E26" s="20" t="n">
        <f aca="false">IF($A26&gt;PARAMETROS!$C$33,"",P25)</f>
        <v>1031853.91262323</v>
      </c>
      <c r="F26" s="21" t="n">
        <f aca="false">IF($A26&gt;PARAMETROS!$C$33,"",PARAMETROS!$C$38)</f>
        <v>0.00495440818448101</v>
      </c>
      <c r="G26" s="20" t="n">
        <f aca="false">IF($A26&gt;PARAMETROS!$C$33,"",E26*F26)</f>
        <v>5112.2254698893</v>
      </c>
      <c r="H26" s="20" t="n">
        <f aca="false">IF($A26&gt;PARAMETROS!$C$33,"",E26*PARAMETROS!$C$39)</f>
        <v>770.716372522665</v>
      </c>
      <c r="I26" s="20" t="n">
        <f aca="false">IF($A26&gt;PARAMETROS!$C$33,"",G26-H26)</f>
        <v>4341.50909736664</v>
      </c>
      <c r="J26" s="20" t="n">
        <f aca="false">IF($A26&gt;PARAMETROS!$C$33,"",PARAMETROS!$C$9*(1+PARAMETROS!$C$17)^(B26-1))</f>
        <v>31182</v>
      </c>
      <c r="K26" s="20" t="n">
        <f aca="false">IF($A26&gt;PARAMETROS!$C$33,"",K25*(1+PARAMETROS!$C$36))</f>
        <v>27695.3296117731</v>
      </c>
      <c r="L26" s="20" t="n">
        <f aca="false">IF($A26&gt;PARAMETROS!$C$33,"",L25*(1+PARAMETROS!$C$37)*(1+M26))</f>
        <v>7415.2892250016</v>
      </c>
      <c r="M26" s="21" t="n">
        <f aca="false">IF($A26&gt;PARAMETROS!$C$33,"",IF(C26&lt;70,PARAMETROS!$C$40,IF(C26&lt;75,PARAMETROS!$C$41,IF(C26&lt;80,PARAMETROS!$C$42,IF(C26&lt;85,PARAMETROS!$C$43,IF(C26&lt;90,PARAMETROS!$C$44,PARAMETROS!$C$45))))))</f>
        <v>0.00246626977230369</v>
      </c>
      <c r="N26" s="20" t="n">
        <f aca="false">IF($A26&gt;PARAMETROS!$C$33,"",K26+L26)</f>
        <v>35110.6188367747</v>
      </c>
      <c r="O26" s="20" t="n">
        <f aca="false">IF($A26&gt;PARAMETROS!$C$33,"",I26+J26-N26)</f>
        <v>412.890260591914</v>
      </c>
      <c r="P26" s="20" t="n">
        <f aca="false">IF($A26&gt;PARAMETROS!$C$33,"",MAX(E26+I26+J26-N26,0))</f>
        <v>1032266.80288383</v>
      </c>
      <c r="Q26" s="22" t="str">
        <f aca="false">IF($A26&gt;PARAMETROS!$C$33,"",IF(P26&lt;=0,"AGOTADO","OK"))</f>
        <v>OK</v>
      </c>
    </row>
    <row r="27" customFormat="false" ht="15" hidden="false" customHeight="false" outlineLevel="0" collapsed="false">
      <c r="A27" s="15" t="n">
        <f aca="false">A26+1</f>
        <v>25</v>
      </c>
      <c r="B27" s="15" t="n">
        <f aca="false">IF($A27="","",ROUNDUP($A27/12,0))</f>
        <v>3</v>
      </c>
      <c r="C27" s="15" t="n">
        <f aca="false">IF($A27="","",PARAMETROS!$C$6+INT(($A27-1)/12))</f>
        <v>67</v>
      </c>
      <c r="D27" s="15" t="n">
        <f aca="false">IF($A27="","",MOD($A27-1,12)+1)</f>
        <v>1</v>
      </c>
      <c r="E27" s="16" t="n">
        <f aca="false">IF($A27&gt;PARAMETROS!$C$33,"",P26)</f>
        <v>1032266.80288383</v>
      </c>
      <c r="F27" s="17" t="n">
        <f aca="false">IF($A27&gt;PARAMETROS!$C$33,"",PARAMETROS!$C$38)</f>
        <v>0.00495440818448101</v>
      </c>
      <c r="G27" s="16" t="n">
        <f aca="false">IF($A27&gt;PARAMETROS!$C$33,"",E27*F27)</f>
        <v>5114.27109677567</v>
      </c>
      <c r="H27" s="16" t="n">
        <f aca="false">IF($A27&gt;PARAMETROS!$C$33,"",E27*PARAMETROS!$C$39)</f>
        <v>771.024770135932</v>
      </c>
      <c r="I27" s="16" t="n">
        <f aca="false">IF($A27&gt;PARAMETROS!$C$33,"",G27-H27)</f>
        <v>4343.24632663974</v>
      </c>
      <c r="J27" s="16" t="n">
        <f aca="false">IF($A27&gt;PARAMETROS!$C$33,"",PARAMETROS!$C$9*(1+PARAMETROS!$C$17)^(B27-1))</f>
        <v>32410.5708</v>
      </c>
      <c r="K27" s="16" t="n">
        <f aca="false">IF($A27&gt;PARAMETROS!$C$33,"",K26*(1+PARAMETROS!$C$36))</f>
        <v>27790.223616</v>
      </c>
      <c r="L27" s="16" t="n">
        <f aca="false">IF($A27&gt;PARAMETROS!$C$33,"",L26*(1+PARAMETROS!$C$37)*(1+M27))</f>
        <v>7462.91418818562</v>
      </c>
      <c r="M27" s="17" t="n">
        <f aca="false">IF($A27&gt;PARAMETROS!$C$33,"",IF(C27&lt;70,PARAMETROS!$C$40,IF(C27&lt;75,PARAMETROS!$C$41,IF(C27&lt;80,PARAMETROS!$C$42,IF(C27&lt;85,PARAMETROS!$C$43,IF(C27&lt;90,PARAMETROS!$C$44,PARAMETROS!$C$45))))))</f>
        <v>0.00246626977230369</v>
      </c>
      <c r="N27" s="16" t="n">
        <f aca="false">IF($A27&gt;PARAMETROS!$C$33,"",K27+L27)</f>
        <v>35253.1378041856</v>
      </c>
      <c r="O27" s="16" t="n">
        <f aca="false">IF($A27&gt;PARAMETROS!$C$33,"",I27+J27-N27)</f>
        <v>1500.67932245413</v>
      </c>
      <c r="P27" s="16" t="n">
        <f aca="false">IF($A27&gt;PARAMETROS!$C$33,"",MAX(E27+I27+J27-N27,0))</f>
        <v>1033767.48220628</v>
      </c>
      <c r="Q27" s="18" t="str">
        <f aca="false">IF($A27&gt;PARAMETROS!$C$33,"",IF(P27&lt;=0,"AGOTADO","OK"))</f>
        <v>OK</v>
      </c>
    </row>
    <row r="28" customFormat="false" ht="15" hidden="false" customHeight="false" outlineLevel="0" collapsed="false">
      <c r="A28" s="15" t="n">
        <f aca="false">A27+1</f>
        <v>26</v>
      </c>
      <c r="B28" s="15" t="n">
        <f aca="false">IF($A28="","",ROUNDUP($A28/12,0))</f>
        <v>3</v>
      </c>
      <c r="C28" s="15" t="n">
        <f aca="false">IF($A28="","",PARAMETROS!$C$6+INT(($A28-1)/12))</f>
        <v>67</v>
      </c>
      <c r="D28" s="15" t="n">
        <f aca="false">IF($A28="","",MOD($A28-1,12)+1)</f>
        <v>2</v>
      </c>
      <c r="E28" s="16" t="n">
        <f aca="false">IF($A28&gt;PARAMETROS!$C$33,"",P27)</f>
        <v>1033767.48220628</v>
      </c>
      <c r="F28" s="17" t="n">
        <f aca="false">IF($A28&gt;PARAMETROS!$C$33,"",PARAMETROS!$C$38)</f>
        <v>0.00495440818448101</v>
      </c>
      <c r="G28" s="16" t="n">
        <f aca="false">IF($A28&gt;PARAMETROS!$C$33,"",E28*F28)</f>
        <v>5121.70607469312</v>
      </c>
      <c r="H28" s="16" t="n">
        <f aca="false">IF($A28&gt;PARAMETROS!$C$33,"",E28*PARAMETROS!$C$39)</f>
        <v>772.145663422833</v>
      </c>
      <c r="I28" s="16" t="n">
        <f aca="false">IF($A28&gt;PARAMETROS!$C$33,"",G28-H28)</f>
        <v>4349.56041127029</v>
      </c>
      <c r="J28" s="16" t="n">
        <f aca="false">IF($A28&gt;PARAMETROS!$C$33,"",PARAMETROS!$C$9*(1+PARAMETROS!$C$17)^(B28-1))</f>
        <v>32410.5708</v>
      </c>
      <c r="K28" s="16" t="n">
        <f aca="false">IF($A28&gt;PARAMETROS!$C$33,"",K27*(1+PARAMETROS!$C$36))</f>
        <v>27885.4427606807</v>
      </c>
      <c r="L28" s="16" t="n">
        <f aca="false">IF($A28&gt;PARAMETROS!$C$33,"",L27*(1+PARAMETROS!$C$37)*(1+M28))</f>
        <v>7510.84502441781</v>
      </c>
      <c r="M28" s="17" t="n">
        <f aca="false">IF($A28&gt;PARAMETROS!$C$33,"",IF(C28&lt;70,PARAMETROS!$C$40,IF(C28&lt;75,PARAMETROS!$C$41,IF(C28&lt;80,PARAMETROS!$C$42,IF(C28&lt;85,PARAMETROS!$C$43,IF(C28&lt;90,PARAMETROS!$C$44,PARAMETROS!$C$45))))))</f>
        <v>0.00246626977230369</v>
      </c>
      <c r="N28" s="16" t="n">
        <f aca="false">IF($A28&gt;PARAMETROS!$C$33,"",K28+L28)</f>
        <v>35396.2877850985</v>
      </c>
      <c r="O28" s="16" t="n">
        <f aca="false">IF($A28&gt;PARAMETROS!$C$33,"",I28+J28-N28)</f>
        <v>1363.84342617181</v>
      </c>
      <c r="P28" s="16" t="n">
        <f aca="false">IF($A28&gt;PARAMETROS!$C$33,"",MAX(E28+I28+J28-N28,0))</f>
        <v>1035131.32563245</v>
      </c>
      <c r="Q28" s="18" t="str">
        <f aca="false">IF($A28&gt;PARAMETROS!$C$33,"",IF(P28&lt;=0,"AGOTADO","OK"))</f>
        <v>OK</v>
      </c>
    </row>
    <row r="29" customFormat="false" ht="15" hidden="false" customHeight="false" outlineLevel="0" collapsed="false">
      <c r="A29" s="15" t="n">
        <f aca="false">A28+1</f>
        <v>27</v>
      </c>
      <c r="B29" s="15" t="n">
        <f aca="false">IF($A29="","",ROUNDUP($A29/12,0))</f>
        <v>3</v>
      </c>
      <c r="C29" s="15" t="n">
        <f aca="false">IF($A29="","",PARAMETROS!$C$6+INT(($A29-1)/12))</f>
        <v>67</v>
      </c>
      <c r="D29" s="15" t="n">
        <f aca="false">IF($A29="","",MOD($A29-1,12)+1)</f>
        <v>3</v>
      </c>
      <c r="E29" s="16" t="n">
        <f aca="false">IF($A29&gt;PARAMETROS!$C$33,"",P28)</f>
        <v>1035131.32563245</v>
      </c>
      <c r="F29" s="17" t="n">
        <f aca="false">IF($A29&gt;PARAMETROS!$C$33,"",PARAMETROS!$C$38)</f>
        <v>0.00495440818448101</v>
      </c>
      <c r="G29" s="16" t="n">
        <f aca="false">IF($A29&gt;PARAMETROS!$C$33,"",E29*F29)</f>
        <v>5128.4631117261</v>
      </c>
      <c r="H29" s="16" t="n">
        <f aca="false">IF($A29&gt;PARAMETROS!$C$33,"",E29*PARAMETROS!$C$39)</f>
        <v>773.164350705256</v>
      </c>
      <c r="I29" s="16" t="n">
        <f aca="false">IF($A29&gt;PARAMETROS!$C$33,"",G29-H29)</f>
        <v>4355.29876102084</v>
      </c>
      <c r="J29" s="16" t="n">
        <f aca="false">IF($A29&gt;PARAMETROS!$C$33,"",PARAMETROS!$C$9*(1+PARAMETROS!$C$17)^(B29-1))</f>
        <v>32410.5708</v>
      </c>
      <c r="K29" s="16" t="n">
        <f aca="false">IF($A29&gt;PARAMETROS!$C$33,"",K28*(1+PARAMETROS!$C$36))</f>
        <v>27980.9881598615</v>
      </c>
      <c r="L29" s="16" t="n">
        <f aca="false">IF($A29&gt;PARAMETROS!$C$33,"",L28*(1+PARAMETROS!$C$37)*(1+M29))</f>
        <v>7559.08369817887</v>
      </c>
      <c r="M29" s="17" t="n">
        <f aca="false">IF($A29&gt;PARAMETROS!$C$33,"",IF(C29&lt;70,PARAMETROS!$C$40,IF(C29&lt;75,PARAMETROS!$C$41,IF(C29&lt;80,PARAMETROS!$C$42,IF(C29&lt;85,PARAMETROS!$C$43,IF(C29&lt;90,PARAMETROS!$C$44,PARAMETROS!$C$45))))))</f>
        <v>0.00246626977230369</v>
      </c>
      <c r="N29" s="16" t="n">
        <f aca="false">IF($A29&gt;PARAMETROS!$C$33,"",K29+L29)</f>
        <v>35540.0718580403</v>
      </c>
      <c r="O29" s="16" t="n">
        <f aca="false">IF($A29&gt;PARAMETROS!$C$33,"",I29+J29-N29)</f>
        <v>1225.79770298052</v>
      </c>
      <c r="P29" s="16" t="n">
        <f aca="false">IF($A29&gt;PARAMETROS!$C$33,"",MAX(E29+I29+J29-N29,0))</f>
        <v>1036357.12333543</v>
      </c>
      <c r="Q29" s="18" t="str">
        <f aca="false">IF($A29&gt;PARAMETROS!$C$33,"",IF(P29&lt;=0,"AGOTADO","OK"))</f>
        <v>OK</v>
      </c>
    </row>
    <row r="30" customFormat="false" ht="15" hidden="false" customHeight="false" outlineLevel="0" collapsed="false">
      <c r="A30" s="15" t="n">
        <f aca="false">A29+1</f>
        <v>28</v>
      </c>
      <c r="B30" s="15" t="n">
        <f aca="false">IF($A30="","",ROUNDUP($A30/12,0))</f>
        <v>3</v>
      </c>
      <c r="C30" s="15" t="n">
        <f aca="false">IF($A30="","",PARAMETROS!$C$6+INT(($A30-1)/12))</f>
        <v>67</v>
      </c>
      <c r="D30" s="15" t="n">
        <f aca="false">IF($A30="","",MOD($A30-1,12)+1)</f>
        <v>4</v>
      </c>
      <c r="E30" s="16" t="n">
        <f aca="false">IF($A30&gt;PARAMETROS!$C$33,"",P29)</f>
        <v>1036357.12333543</v>
      </c>
      <c r="F30" s="17" t="n">
        <f aca="false">IF($A30&gt;PARAMETROS!$C$33,"",PARAMETROS!$C$38)</f>
        <v>0.00495440818448101</v>
      </c>
      <c r="G30" s="16" t="n">
        <f aca="false">IF($A30&gt;PARAMETROS!$C$33,"",E30*F30)</f>
        <v>5134.53621389826</v>
      </c>
      <c r="H30" s="16" t="n">
        <f aca="false">IF($A30&gt;PARAMETROS!$C$33,"",E30*PARAMETROS!$C$39)</f>
        <v>774.079928334541</v>
      </c>
      <c r="I30" s="16" t="n">
        <f aca="false">IF($A30&gt;PARAMETROS!$C$33,"",G30-H30)</f>
        <v>4360.45628556372</v>
      </c>
      <c r="J30" s="16" t="n">
        <f aca="false">IF($A30&gt;PARAMETROS!$C$33,"",PARAMETROS!$C$9*(1+PARAMETROS!$C$17)^(B30-1))</f>
        <v>32410.5708</v>
      </c>
      <c r="K30" s="16" t="n">
        <f aca="false">IF($A30&gt;PARAMETROS!$C$33,"",K29*(1+PARAMETROS!$C$36))</f>
        <v>28076.8609314058</v>
      </c>
      <c r="L30" s="16" t="n">
        <f aca="false">IF($A30&gt;PARAMETROS!$C$33,"",L29*(1+PARAMETROS!$C$37)*(1+M30))</f>
        <v>7607.63218656648</v>
      </c>
      <c r="M30" s="17" t="n">
        <f aca="false">IF($A30&gt;PARAMETROS!$C$33,"",IF(C30&lt;70,PARAMETROS!$C$40,IF(C30&lt;75,PARAMETROS!$C$41,IF(C30&lt;80,PARAMETROS!$C$42,IF(C30&lt;85,PARAMETROS!$C$43,IF(C30&lt;90,PARAMETROS!$C$44,PARAMETROS!$C$45))))))</f>
        <v>0.00246626977230369</v>
      </c>
      <c r="N30" s="16" t="n">
        <f aca="false">IF($A30&gt;PARAMETROS!$C$33,"",K30+L30)</f>
        <v>35684.4931179723</v>
      </c>
      <c r="O30" s="16" t="n">
        <f aca="false">IF($A30&gt;PARAMETROS!$C$33,"",I30+J30-N30)</f>
        <v>1086.53396759148</v>
      </c>
      <c r="P30" s="16" t="n">
        <f aca="false">IF($A30&gt;PARAMETROS!$C$33,"",MAX(E30+I30+J30-N30,0))</f>
        <v>1037443.65730302</v>
      </c>
      <c r="Q30" s="18" t="str">
        <f aca="false">IF($A30&gt;PARAMETROS!$C$33,"",IF(P30&lt;=0,"AGOTADO","OK"))</f>
        <v>OK</v>
      </c>
    </row>
    <row r="31" customFormat="false" ht="15" hidden="false" customHeight="false" outlineLevel="0" collapsed="false">
      <c r="A31" s="15" t="n">
        <f aca="false">A30+1</f>
        <v>29</v>
      </c>
      <c r="B31" s="15" t="n">
        <f aca="false">IF($A31="","",ROUNDUP($A31/12,0))</f>
        <v>3</v>
      </c>
      <c r="C31" s="15" t="n">
        <f aca="false">IF($A31="","",PARAMETROS!$C$6+INT(($A31-1)/12))</f>
        <v>67</v>
      </c>
      <c r="D31" s="15" t="n">
        <f aca="false">IF($A31="","",MOD($A31-1,12)+1)</f>
        <v>5</v>
      </c>
      <c r="E31" s="16" t="n">
        <f aca="false">IF($A31&gt;PARAMETROS!$C$33,"",P30)</f>
        <v>1037443.65730302</v>
      </c>
      <c r="F31" s="17" t="n">
        <f aca="false">IF($A31&gt;PARAMETROS!$C$33,"",PARAMETROS!$C$38)</f>
        <v>0.00495440818448101</v>
      </c>
      <c r="G31" s="16" t="n">
        <f aca="false">IF($A31&gt;PARAMETROS!$C$33,"",E31*F31)</f>
        <v>5139.91934668001</v>
      </c>
      <c r="H31" s="16" t="n">
        <f aca="false">IF($A31&gt;PARAMETROS!$C$33,"",E31*PARAMETROS!$C$39)</f>
        <v>774.891486548238</v>
      </c>
      <c r="I31" s="16" t="n">
        <f aca="false">IF($A31&gt;PARAMETROS!$C$33,"",G31-H31)</f>
        <v>4365.02786013178</v>
      </c>
      <c r="J31" s="16" t="n">
        <f aca="false">IF($A31&gt;PARAMETROS!$C$33,"",PARAMETROS!$C$9*(1+PARAMETROS!$C$17)^(B31-1))</f>
        <v>32410.5708</v>
      </c>
      <c r="K31" s="16" t="n">
        <f aca="false">IF($A31&gt;PARAMETROS!$C$33,"",K30*(1+PARAMETROS!$C$36))</f>
        <v>28173.0621970072</v>
      </c>
      <c r="L31" s="16" t="n">
        <f aca="false">IF($A31&gt;PARAMETROS!$C$33,"",L30*(1+PARAMETROS!$C$37)*(1+M31))</f>
        <v>7656.49247937626</v>
      </c>
      <c r="M31" s="17" t="n">
        <f aca="false">IF($A31&gt;PARAMETROS!$C$33,"",IF(C31&lt;70,PARAMETROS!$C$40,IF(C31&lt;75,PARAMETROS!$C$41,IF(C31&lt;80,PARAMETROS!$C$42,IF(C31&lt;85,PARAMETROS!$C$43,IF(C31&lt;90,PARAMETROS!$C$44,PARAMETROS!$C$45))))))</f>
        <v>0.00246626977230369</v>
      </c>
      <c r="N31" s="16" t="n">
        <f aca="false">IF($A31&gt;PARAMETROS!$C$33,"",K31+L31)</f>
        <v>35829.5546763835</v>
      </c>
      <c r="O31" s="16" t="n">
        <f aca="false">IF($A31&gt;PARAMETROS!$C$33,"",I31+J31-N31)</f>
        <v>946.043983748299</v>
      </c>
      <c r="P31" s="16" t="n">
        <f aca="false">IF($A31&gt;PARAMETROS!$C$33,"",MAX(E31+I31+J31-N31,0))</f>
        <v>1038389.70128677</v>
      </c>
      <c r="Q31" s="18" t="str">
        <f aca="false">IF($A31&gt;PARAMETROS!$C$33,"",IF(P31&lt;=0,"AGOTADO","OK"))</f>
        <v>OK</v>
      </c>
    </row>
    <row r="32" customFormat="false" ht="15" hidden="false" customHeight="false" outlineLevel="0" collapsed="false">
      <c r="A32" s="15" t="n">
        <f aca="false">A31+1</f>
        <v>30</v>
      </c>
      <c r="B32" s="15" t="n">
        <f aca="false">IF($A32="","",ROUNDUP($A32/12,0))</f>
        <v>3</v>
      </c>
      <c r="C32" s="15" t="n">
        <f aca="false">IF($A32="","",PARAMETROS!$C$6+INT(($A32-1)/12))</f>
        <v>67</v>
      </c>
      <c r="D32" s="15" t="n">
        <f aca="false">IF($A32="","",MOD($A32-1,12)+1)</f>
        <v>6</v>
      </c>
      <c r="E32" s="16" t="n">
        <f aca="false">IF($A32&gt;PARAMETROS!$C$33,"",P31)</f>
        <v>1038389.70128677</v>
      </c>
      <c r="F32" s="17" t="n">
        <f aca="false">IF($A32&gt;PARAMETROS!$C$33,"",PARAMETROS!$C$38)</f>
        <v>0.00495440818448101</v>
      </c>
      <c r="G32" s="16" t="n">
        <f aca="false">IF($A32&gt;PARAMETROS!$C$33,"",E32*F32)</f>
        <v>5144.60643473598</v>
      </c>
      <c r="H32" s="16" t="n">
        <f aca="false">IF($A32&gt;PARAMETROS!$C$33,"",E32*PARAMETROS!$C$39)</f>
        <v>775.598109432041</v>
      </c>
      <c r="I32" s="16" t="n">
        <f aca="false">IF($A32&gt;PARAMETROS!$C$33,"",G32-H32)</f>
        <v>4369.00832530393</v>
      </c>
      <c r="J32" s="16" t="n">
        <f aca="false">IF($A32&gt;PARAMETROS!$C$33,"",PARAMETROS!$C$9*(1+PARAMETROS!$C$17)^(B32-1))</f>
        <v>32410.5708</v>
      </c>
      <c r="K32" s="16" t="n">
        <f aca="false">IF($A32&gt;PARAMETROS!$C$33,"",K31*(1+PARAMETROS!$C$36))</f>
        <v>28269.5930822028</v>
      </c>
      <c r="L32" s="16" t="n">
        <f aca="false">IF($A32&gt;PARAMETROS!$C$33,"",L31*(1+PARAMETROS!$C$37)*(1+M32))</f>
        <v>7705.6665791834</v>
      </c>
      <c r="M32" s="17" t="n">
        <f aca="false">IF($A32&gt;PARAMETROS!$C$33,"",IF(C32&lt;70,PARAMETROS!$C$40,IF(C32&lt;75,PARAMETROS!$C$41,IF(C32&lt;80,PARAMETROS!$C$42,IF(C32&lt;85,PARAMETROS!$C$43,IF(C32&lt;90,PARAMETROS!$C$44,PARAMETROS!$C$45))))))</f>
        <v>0.00246626977230369</v>
      </c>
      <c r="N32" s="16" t="n">
        <f aca="false">IF($A32&gt;PARAMETROS!$C$33,"",K32+L32)</f>
        <v>35975.2596613862</v>
      </c>
      <c r="O32" s="16" t="n">
        <f aca="false">IF($A32&gt;PARAMETROS!$C$33,"",I32+J32-N32)</f>
        <v>804.319463917775</v>
      </c>
      <c r="P32" s="16" t="n">
        <f aca="false">IF($A32&gt;PARAMETROS!$C$33,"",MAX(E32+I32+J32-N32,0))</f>
        <v>1039194.02075069</v>
      </c>
      <c r="Q32" s="18" t="str">
        <f aca="false">IF($A32&gt;PARAMETROS!$C$33,"",IF(P32&lt;=0,"AGOTADO","OK"))</f>
        <v>OK</v>
      </c>
    </row>
    <row r="33" customFormat="false" ht="15" hidden="false" customHeight="false" outlineLevel="0" collapsed="false">
      <c r="A33" s="15" t="n">
        <f aca="false">A32+1</f>
        <v>31</v>
      </c>
      <c r="B33" s="15" t="n">
        <f aca="false">IF($A33="","",ROUNDUP($A33/12,0))</f>
        <v>3</v>
      </c>
      <c r="C33" s="15" t="n">
        <f aca="false">IF($A33="","",PARAMETROS!$C$6+INT(($A33-1)/12))</f>
        <v>67</v>
      </c>
      <c r="D33" s="15" t="n">
        <f aca="false">IF($A33="","",MOD($A33-1,12)+1)</f>
        <v>7</v>
      </c>
      <c r="E33" s="16" t="n">
        <f aca="false">IF($A33&gt;PARAMETROS!$C$33,"",P32)</f>
        <v>1039194.02075069</v>
      </c>
      <c r="F33" s="17" t="n">
        <f aca="false">IF($A33&gt;PARAMETROS!$C$33,"",PARAMETROS!$C$38)</f>
        <v>0.00495440818448101</v>
      </c>
      <c r="G33" s="16" t="n">
        <f aca="false">IF($A33&gt;PARAMETROS!$C$33,"",E33*F33)</f>
        <v>5148.59136167095</v>
      </c>
      <c r="H33" s="16" t="n">
        <f aca="false">IF($A33&gt;PARAMETROS!$C$33,"",E33*PARAMETROS!$C$39)</f>
        <v>776.198874881487</v>
      </c>
      <c r="I33" s="16" t="n">
        <f aca="false">IF($A33&gt;PARAMETROS!$C$33,"",G33-H33)</f>
        <v>4372.39248678946</v>
      </c>
      <c r="J33" s="16" t="n">
        <f aca="false">IF($A33&gt;PARAMETROS!$C$33,"",PARAMETROS!$C$9*(1+PARAMETROS!$C$17)^(B33-1))</f>
        <v>32410.5708</v>
      </c>
      <c r="K33" s="16" t="n">
        <f aca="false">IF($A33&gt;PARAMETROS!$C$33,"",K32*(1+PARAMETROS!$C$36))</f>
        <v>28366.4547163858</v>
      </c>
      <c r="L33" s="16" t="n">
        <f aca="false">IF($A33&gt;PARAMETROS!$C$33,"",L32*(1+PARAMETROS!$C$37)*(1+M33))</f>
        <v>7755.15650142468</v>
      </c>
      <c r="M33" s="17" t="n">
        <f aca="false">IF($A33&gt;PARAMETROS!$C$33,"",IF(C33&lt;70,PARAMETROS!$C$40,IF(C33&lt;75,PARAMETROS!$C$41,IF(C33&lt;80,PARAMETROS!$C$42,IF(C33&lt;85,PARAMETROS!$C$43,IF(C33&lt;90,PARAMETROS!$C$44,PARAMETROS!$C$45))))))</f>
        <v>0.00246626977230369</v>
      </c>
      <c r="N33" s="16" t="n">
        <f aca="false">IF($A33&gt;PARAMETROS!$C$33,"",K33+L33)</f>
        <v>36121.6112178105</v>
      </c>
      <c r="O33" s="16" t="n">
        <f aca="false">IF($A33&gt;PARAMETROS!$C$33,"",I33+J33-N33)</f>
        <v>661.352068978973</v>
      </c>
      <c r="P33" s="16" t="n">
        <f aca="false">IF($A33&gt;PARAMETROS!$C$33,"",MAX(E33+I33+J33-N33,0))</f>
        <v>1039855.37281967</v>
      </c>
      <c r="Q33" s="18" t="str">
        <f aca="false">IF($A33&gt;PARAMETROS!$C$33,"",IF(P33&lt;=0,"AGOTADO","OK"))</f>
        <v>OK</v>
      </c>
    </row>
    <row r="34" customFormat="false" ht="15" hidden="false" customHeight="false" outlineLevel="0" collapsed="false">
      <c r="A34" s="15" t="n">
        <f aca="false">A33+1</f>
        <v>32</v>
      </c>
      <c r="B34" s="15" t="n">
        <f aca="false">IF($A34="","",ROUNDUP($A34/12,0))</f>
        <v>3</v>
      </c>
      <c r="C34" s="15" t="n">
        <f aca="false">IF($A34="","",PARAMETROS!$C$6+INT(($A34-1)/12))</f>
        <v>67</v>
      </c>
      <c r="D34" s="15" t="n">
        <f aca="false">IF($A34="","",MOD($A34-1,12)+1)</f>
        <v>8</v>
      </c>
      <c r="E34" s="16" t="n">
        <f aca="false">IF($A34&gt;PARAMETROS!$C$33,"",P33)</f>
        <v>1039855.37281967</v>
      </c>
      <c r="F34" s="17" t="n">
        <f aca="false">IF($A34&gt;PARAMETROS!$C$33,"",PARAMETROS!$C$38)</f>
        <v>0.00495440818448101</v>
      </c>
      <c r="G34" s="16" t="n">
        <f aca="false">IF($A34&gt;PARAMETROS!$C$33,"",E34*F34)</f>
        <v>5151.86796977432</v>
      </c>
      <c r="H34" s="16" t="n">
        <f aca="false">IF($A34&gt;PARAMETROS!$C$33,"",E34*PARAMETROS!$C$39)</f>
        <v>776.692854563425</v>
      </c>
      <c r="I34" s="16" t="n">
        <f aca="false">IF($A34&gt;PARAMETROS!$C$33,"",G34-H34)</f>
        <v>4375.1751152109</v>
      </c>
      <c r="J34" s="16" t="n">
        <f aca="false">IF($A34&gt;PARAMETROS!$C$33,"",PARAMETROS!$C$9*(1+PARAMETROS!$C$17)^(B34-1))</f>
        <v>32410.5708</v>
      </c>
      <c r="K34" s="16" t="n">
        <f aca="false">IF($A34&gt;PARAMETROS!$C$33,"",K33*(1+PARAMETROS!$C$36))</f>
        <v>28463.6482328195</v>
      </c>
      <c r="L34" s="16" t="n">
        <f aca="false">IF($A34&gt;PARAMETROS!$C$33,"",L33*(1+PARAMETROS!$C$37)*(1+M34))</f>
        <v>7804.96427448111</v>
      </c>
      <c r="M34" s="17" t="n">
        <f aca="false">IF($A34&gt;PARAMETROS!$C$33,"",IF(C34&lt;70,PARAMETROS!$C$40,IF(C34&lt;75,PARAMETROS!$C$41,IF(C34&lt;80,PARAMETROS!$C$42,IF(C34&lt;85,PARAMETROS!$C$43,IF(C34&lt;90,PARAMETROS!$C$44,PARAMETROS!$C$45))))))</f>
        <v>0.00246626977230369</v>
      </c>
      <c r="N34" s="16" t="n">
        <f aca="false">IF($A34&gt;PARAMETROS!$C$33,"",K34+L34)</f>
        <v>36268.6125073006</v>
      </c>
      <c r="O34" s="16" t="n">
        <f aca="false">IF($A34&gt;PARAMETROS!$C$33,"",I34+J34-N34)</f>
        <v>517.133407910296</v>
      </c>
      <c r="P34" s="16" t="n">
        <f aca="false">IF($A34&gt;PARAMETROS!$C$33,"",MAX(E34+I34+J34-N34,0))</f>
        <v>1040372.50622758</v>
      </c>
      <c r="Q34" s="18" t="str">
        <f aca="false">IF($A34&gt;PARAMETROS!$C$33,"",IF(P34&lt;=0,"AGOTADO","OK"))</f>
        <v>OK</v>
      </c>
    </row>
    <row r="35" customFormat="false" ht="15" hidden="false" customHeight="false" outlineLevel="0" collapsed="false">
      <c r="A35" s="15" t="n">
        <f aca="false">A34+1</f>
        <v>33</v>
      </c>
      <c r="B35" s="15" t="n">
        <f aca="false">IF($A35="","",ROUNDUP($A35/12,0))</f>
        <v>3</v>
      </c>
      <c r="C35" s="15" t="n">
        <f aca="false">IF($A35="","",PARAMETROS!$C$6+INT(($A35-1)/12))</f>
        <v>67</v>
      </c>
      <c r="D35" s="15" t="n">
        <f aca="false">IF($A35="","",MOD($A35-1,12)+1)</f>
        <v>9</v>
      </c>
      <c r="E35" s="16" t="n">
        <f aca="false">IF($A35&gt;PARAMETROS!$C$33,"",P34)</f>
        <v>1040372.50622758</v>
      </c>
      <c r="F35" s="17" t="n">
        <f aca="false">IF($A35&gt;PARAMETROS!$C$33,"",PARAMETROS!$C$38)</f>
        <v>0.00495440818448101</v>
      </c>
      <c r="G35" s="16" t="n">
        <f aca="false">IF($A35&gt;PARAMETROS!$C$33,"",E35*F35)</f>
        <v>5154.43005976294</v>
      </c>
      <c r="H35" s="16" t="n">
        <f aca="false">IF($A35&gt;PARAMETROS!$C$33,"",E35*PARAMETROS!$C$39)</f>
        <v>777.079113877248</v>
      </c>
      <c r="I35" s="16" t="n">
        <f aca="false">IF($A35&gt;PARAMETROS!$C$33,"",G35-H35)</f>
        <v>4377.35094588569</v>
      </c>
      <c r="J35" s="16" t="n">
        <f aca="false">IF($A35&gt;PARAMETROS!$C$33,"",PARAMETROS!$C$9*(1+PARAMETROS!$C$17)^(B35-1))</f>
        <v>32410.5708</v>
      </c>
      <c r="K35" s="16" t="n">
        <f aca="false">IF($A35&gt;PARAMETROS!$C$33,"",K34*(1+PARAMETROS!$C$36))</f>
        <v>28561.1747686499</v>
      </c>
      <c r="L35" s="16" t="n">
        <f aca="false">IF($A35&gt;PARAMETROS!$C$33,"",L34*(1+PARAMETROS!$C$37)*(1+M35))</f>
        <v>7855.09193976104</v>
      </c>
      <c r="M35" s="17" t="n">
        <f aca="false">IF($A35&gt;PARAMETROS!$C$33,"",IF(C35&lt;70,PARAMETROS!$C$40,IF(C35&lt;75,PARAMETROS!$C$41,IF(C35&lt;80,PARAMETROS!$C$42,IF(C35&lt;85,PARAMETROS!$C$43,IF(C35&lt;90,PARAMETROS!$C$44,PARAMETROS!$C$45))))))</f>
        <v>0.00246626977230369</v>
      </c>
      <c r="N35" s="16" t="n">
        <f aca="false">IF($A35&gt;PARAMETROS!$C$33,"",K35+L35)</f>
        <v>36416.2667084109</v>
      </c>
      <c r="O35" s="16" t="n">
        <f aca="false">IF($A35&gt;PARAMETROS!$C$33,"",I35+J35-N35)</f>
        <v>371.65503747476</v>
      </c>
      <c r="P35" s="16" t="n">
        <f aca="false">IF($A35&gt;PARAMETROS!$C$33,"",MAX(E35+I35+J35-N35,0))</f>
        <v>1040744.16126505</v>
      </c>
      <c r="Q35" s="18" t="str">
        <f aca="false">IF($A35&gt;PARAMETROS!$C$33,"",IF(P35&lt;=0,"AGOTADO","OK"))</f>
        <v>OK</v>
      </c>
    </row>
    <row r="36" customFormat="false" ht="15" hidden="false" customHeight="false" outlineLevel="0" collapsed="false">
      <c r="A36" s="15" t="n">
        <f aca="false">A35+1</f>
        <v>34</v>
      </c>
      <c r="B36" s="15" t="n">
        <f aca="false">IF($A36="","",ROUNDUP($A36/12,0))</f>
        <v>3</v>
      </c>
      <c r="C36" s="15" t="n">
        <f aca="false">IF($A36="","",PARAMETROS!$C$6+INT(($A36-1)/12))</f>
        <v>67</v>
      </c>
      <c r="D36" s="15" t="n">
        <f aca="false">IF($A36="","",MOD($A36-1,12)+1)</f>
        <v>10</v>
      </c>
      <c r="E36" s="16" t="n">
        <f aca="false">IF($A36&gt;PARAMETROS!$C$33,"",P35)</f>
        <v>1040744.16126505</v>
      </c>
      <c r="F36" s="17" t="n">
        <f aca="false">IF($A36&gt;PARAMETROS!$C$33,"",PARAMETROS!$C$38)</f>
        <v>0.00495440818448101</v>
      </c>
      <c r="G36" s="16" t="n">
        <f aca="false">IF($A36&gt;PARAMETROS!$C$33,"",E36*F36)</f>
        <v>5156.27139052241</v>
      </c>
      <c r="H36" s="16" t="n">
        <f aca="false">IF($A36&gt;PARAMETROS!$C$33,"",E36*PARAMETROS!$C$39)</f>
        <v>777.356711915893</v>
      </c>
      <c r="I36" s="16" t="n">
        <f aca="false">IF($A36&gt;PARAMETROS!$C$33,"",G36-H36)</f>
        <v>4378.91467860652</v>
      </c>
      <c r="J36" s="16" t="n">
        <f aca="false">IF($A36&gt;PARAMETROS!$C$33,"",PARAMETROS!$C$9*(1+PARAMETROS!$C$17)^(B36-1))</f>
        <v>32410.5708</v>
      </c>
      <c r="K36" s="16" t="n">
        <f aca="false">IF($A36&gt;PARAMETROS!$C$33,"",K35*(1+PARAMETROS!$C$36))</f>
        <v>28659.0354649194</v>
      </c>
      <c r="L36" s="16" t="n">
        <f aca="false">IF($A36&gt;PARAMETROS!$C$33,"",L35*(1+PARAMETROS!$C$37)*(1+M36))</f>
        <v>7905.54155178385</v>
      </c>
      <c r="M36" s="17" t="n">
        <f aca="false">IF($A36&gt;PARAMETROS!$C$33,"",IF(C36&lt;70,PARAMETROS!$C$40,IF(C36&lt;75,PARAMETROS!$C$41,IF(C36&lt;80,PARAMETROS!$C$42,IF(C36&lt;85,PARAMETROS!$C$43,IF(C36&lt;90,PARAMETROS!$C$44,PARAMETROS!$C$45))))))</f>
        <v>0.00246626977230369</v>
      </c>
      <c r="N36" s="16" t="n">
        <f aca="false">IF($A36&gt;PARAMETROS!$C$33,"",K36+L36)</f>
        <v>36564.5770167032</v>
      </c>
      <c r="O36" s="16" t="n">
        <f aca="false">IF($A36&gt;PARAMETROS!$C$33,"",I36+J36-N36)</f>
        <v>224.908461903302</v>
      </c>
      <c r="P36" s="16" t="n">
        <f aca="false">IF($A36&gt;PARAMETROS!$C$33,"",MAX(E36+I36+J36-N36,0))</f>
        <v>1040969.06972696</v>
      </c>
      <c r="Q36" s="18" t="str">
        <f aca="false">IF($A36&gt;PARAMETROS!$C$33,"",IF(P36&lt;=0,"AGOTADO","OK"))</f>
        <v>OK</v>
      </c>
    </row>
    <row r="37" customFormat="false" ht="15" hidden="false" customHeight="false" outlineLevel="0" collapsed="false">
      <c r="A37" s="15" t="n">
        <f aca="false">A36+1</f>
        <v>35</v>
      </c>
      <c r="B37" s="15" t="n">
        <f aca="false">IF($A37="","",ROUNDUP($A37/12,0))</f>
        <v>3</v>
      </c>
      <c r="C37" s="15" t="n">
        <f aca="false">IF($A37="","",PARAMETROS!$C$6+INT(($A37-1)/12))</f>
        <v>67</v>
      </c>
      <c r="D37" s="15" t="n">
        <f aca="false">IF($A37="","",MOD($A37-1,12)+1)</f>
        <v>11</v>
      </c>
      <c r="E37" s="16" t="n">
        <f aca="false">IF($A37&gt;PARAMETROS!$C$33,"",P36)</f>
        <v>1040969.06972696</v>
      </c>
      <c r="F37" s="17" t="n">
        <f aca="false">IF($A37&gt;PARAMETROS!$C$33,"",PARAMETROS!$C$38)</f>
        <v>0.00495440818448101</v>
      </c>
      <c r="G37" s="16" t="n">
        <f aca="false">IF($A37&gt;PARAMETROS!$C$33,"",E37*F37)</f>
        <v>5157.38567884682</v>
      </c>
      <c r="H37" s="16" t="n">
        <f aca="false">IF($A37&gt;PARAMETROS!$C$33,"",E37*PARAMETROS!$C$39)</f>
        <v>777.524701426605</v>
      </c>
      <c r="I37" s="16" t="n">
        <f aca="false">IF($A37&gt;PARAMETROS!$C$33,"",G37-H37)</f>
        <v>4379.86097742022</v>
      </c>
      <c r="J37" s="16" t="n">
        <f aca="false">IF($A37&gt;PARAMETROS!$C$33,"",PARAMETROS!$C$9*(1+PARAMETROS!$C$17)^(B37-1))</f>
        <v>32410.5708</v>
      </c>
      <c r="K37" s="16" t="n">
        <f aca="false">IF($A37&gt;PARAMETROS!$C$33,"",K36*(1+PARAMETROS!$C$36))</f>
        <v>28757.2314665799</v>
      </c>
      <c r="L37" s="16" t="n">
        <f aca="false">IF($A37&gt;PARAMETROS!$C$33,"",L36*(1+PARAMETROS!$C$37)*(1+M37))</f>
        <v>7956.31517826412</v>
      </c>
      <c r="M37" s="17" t="n">
        <f aca="false">IF($A37&gt;PARAMETROS!$C$33,"",IF(C37&lt;70,PARAMETROS!$C$40,IF(C37&lt;75,PARAMETROS!$C$41,IF(C37&lt;80,PARAMETROS!$C$42,IF(C37&lt;85,PARAMETROS!$C$43,IF(C37&lt;90,PARAMETROS!$C$44,PARAMETROS!$C$45))))))</f>
        <v>0.00246626977230369</v>
      </c>
      <c r="N37" s="16" t="n">
        <f aca="false">IF($A37&gt;PARAMETROS!$C$33,"",K37+L37)</f>
        <v>36713.546644844</v>
      </c>
      <c r="O37" s="16" t="n">
        <f aca="false">IF($A37&gt;PARAMETROS!$C$33,"",I37+J37-N37)</f>
        <v>76.8851325762153</v>
      </c>
      <c r="P37" s="16" t="n">
        <f aca="false">IF($A37&gt;PARAMETROS!$C$33,"",MAX(E37+I37+J37-N37,0))</f>
        <v>1041045.95485953</v>
      </c>
      <c r="Q37" s="18" t="str">
        <f aca="false">IF($A37&gt;PARAMETROS!$C$33,"",IF(P37&lt;=0,"AGOTADO","OK"))</f>
        <v>OK</v>
      </c>
    </row>
    <row r="38" customFormat="false" ht="15" hidden="false" customHeight="false" outlineLevel="0" collapsed="false">
      <c r="A38" s="15" t="n">
        <f aca="false">A37+1</f>
        <v>36</v>
      </c>
      <c r="B38" s="15" t="n">
        <f aca="false">IF($A38="","",ROUNDUP($A38/12,0))</f>
        <v>3</v>
      </c>
      <c r="C38" s="15" t="n">
        <f aca="false">IF($A38="","",PARAMETROS!$C$6+INT(($A38-1)/12))</f>
        <v>67</v>
      </c>
      <c r="D38" s="15" t="n">
        <f aca="false">IF($A38="","",MOD($A38-1,12)+1)</f>
        <v>12</v>
      </c>
      <c r="E38" s="16" t="n">
        <f aca="false">IF($A38&gt;PARAMETROS!$C$33,"",P37)</f>
        <v>1041045.95485953</v>
      </c>
      <c r="F38" s="17" t="n">
        <f aca="false">IF($A38&gt;PARAMETROS!$C$33,"",PARAMETROS!$C$38)</f>
        <v>0.00495440818448101</v>
      </c>
      <c r="G38" s="16" t="n">
        <f aca="false">IF($A38&gt;PARAMETROS!$C$33,"",E38*F38)</f>
        <v>5157.76659917692</v>
      </c>
      <c r="H38" s="16" t="n">
        <f aca="false">IF($A38&gt;PARAMETROS!$C$33,"",E38*PARAMETROS!$C$39)</f>
        <v>777.58212877146</v>
      </c>
      <c r="I38" s="16" t="n">
        <f aca="false">IF($A38&gt;PARAMETROS!$C$33,"",G38-H38)</f>
        <v>4380.18447040546</v>
      </c>
      <c r="J38" s="16" t="n">
        <f aca="false">IF($A38&gt;PARAMETROS!$C$33,"",PARAMETROS!$C$9*(1+PARAMETROS!$C$17)^(B38-1))</f>
        <v>32410.5708</v>
      </c>
      <c r="K38" s="16" t="n">
        <f aca="false">IF($A38&gt;PARAMETROS!$C$33,"",K37*(1+PARAMETROS!$C$36))</f>
        <v>28855.7639225064</v>
      </c>
      <c r="L38" s="16" t="n">
        <f aca="false">IF($A38&gt;PARAMETROS!$C$33,"",L37*(1+PARAMETROS!$C$37)*(1+M38))</f>
        <v>8007.41490019644</v>
      </c>
      <c r="M38" s="17" t="n">
        <f aca="false">IF($A38&gt;PARAMETROS!$C$33,"",IF(C38&lt;70,PARAMETROS!$C$40,IF(C38&lt;75,PARAMETROS!$C$41,IF(C38&lt;80,PARAMETROS!$C$42,IF(C38&lt;85,PARAMETROS!$C$43,IF(C38&lt;90,PARAMETROS!$C$44,PARAMETROS!$C$45))))))</f>
        <v>0.00246626977230369</v>
      </c>
      <c r="N38" s="16" t="n">
        <f aca="false">IF($A38&gt;PARAMETROS!$C$33,"",K38+L38)</f>
        <v>36863.1788227029</v>
      </c>
      <c r="O38" s="16" t="n">
        <f aca="false">IF($A38&gt;PARAMETROS!$C$33,"",I38+J38-N38)</f>
        <v>-72.4235522973904</v>
      </c>
      <c r="P38" s="16" t="n">
        <f aca="false">IF($A38&gt;PARAMETROS!$C$33,"",MAX(E38+I38+J38-N38,0))</f>
        <v>1040973.53130724</v>
      </c>
      <c r="Q38" s="18" t="str">
        <f aca="false">IF($A38&gt;PARAMETROS!$C$33,"",IF(P38&lt;=0,"AGOTADO","OK"))</f>
        <v>OK</v>
      </c>
    </row>
    <row r="39" customFormat="false" ht="15" hidden="false" customHeight="false" outlineLevel="0" collapsed="false">
      <c r="A39" s="19" t="n">
        <f aca="false">A38+1</f>
        <v>37</v>
      </c>
      <c r="B39" s="19" t="n">
        <f aca="false">IF($A39="","",ROUNDUP($A39/12,0))</f>
        <v>4</v>
      </c>
      <c r="C39" s="19" t="n">
        <f aca="false">IF($A39="","",PARAMETROS!$C$6+INT(($A39-1)/12))</f>
        <v>68</v>
      </c>
      <c r="D39" s="19" t="n">
        <f aca="false">IF($A39="","",MOD($A39-1,12)+1)</f>
        <v>1</v>
      </c>
      <c r="E39" s="20" t="n">
        <f aca="false">IF($A39&gt;PARAMETROS!$C$33,"",P38)</f>
        <v>1040973.53130724</v>
      </c>
      <c r="F39" s="21" t="n">
        <f aca="false">IF($A39&gt;PARAMETROS!$C$33,"",PARAMETROS!$C$38)</f>
        <v>0.00495440818448101</v>
      </c>
      <c r="G39" s="20" t="n">
        <f aca="false">IF($A39&gt;PARAMETROS!$C$33,"",E39*F39)</f>
        <v>5157.40778333667</v>
      </c>
      <c r="H39" s="20" t="n">
        <f aca="false">IF($A39&gt;PARAMETROS!$C$33,"",E39*PARAMETROS!$C$39)</f>
        <v>777.52803388765</v>
      </c>
      <c r="I39" s="20" t="n">
        <f aca="false">IF($A39&gt;PARAMETROS!$C$33,"",G39-H39)</f>
        <v>4379.87974944902</v>
      </c>
      <c r="J39" s="20" t="n">
        <f aca="false">IF($A39&gt;PARAMETROS!$C$33,"",PARAMETROS!$C$9*(1+PARAMETROS!$C$17)^(B39-1))</f>
        <v>33687.54728952</v>
      </c>
      <c r="K39" s="20" t="n">
        <f aca="false">IF($A39&gt;PARAMETROS!$C$33,"",K38*(1+PARAMETROS!$C$36))</f>
        <v>28954.6339855104</v>
      </c>
      <c r="L39" s="20" t="n">
        <f aca="false">IF($A39&gt;PARAMETROS!$C$33,"",L38*(1+PARAMETROS!$C$37)*(1+M39))</f>
        <v>8058.84281194063</v>
      </c>
      <c r="M39" s="21" t="n">
        <f aca="false">IF($A39&gt;PARAMETROS!$C$33,"",IF(C39&lt;70,PARAMETROS!$C$40,IF(C39&lt;75,PARAMETROS!$C$41,IF(C39&lt;80,PARAMETROS!$C$42,IF(C39&lt;85,PARAMETROS!$C$43,IF(C39&lt;90,PARAMETROS!$C$44,PARAMETROS!$C$45))))))</f>
        <v>0.00246626977230369</v>
      </c>
      <c r="N39" s="20" t="n">
        <f aca="false">IF($A39&gt;PARAMETROS!$C$33,"",K39+L39)</f>
        <v>37013.476797451</v>
      </c>
      <c r="O39" s="20" t="n">
        <f aca="false">IF($A39&gt;PARAMETROS!$C$33,"",I39+J39-N39)</f>
        <v>1053.950241518</v>
      </c>
      <c r="P39" s="20" t="n">
        <f aca="false">IF($A39&gt;PARAMETROS!$C$33,"",MAX(E39+I39+J39-N39,0))</f>
        <v>1042027.48154876</v>
      </c>
      <c r="Q39" s="22" t="str">
        <f aca="false">IF($A39&gt;PARAMETROS!$C$33,"",IF(P39&lt;=0,"AGOTADO","OK"))</f>
        <v>OK</v>
      </c>
    </row>
    <row r="40" customFormat="false" ht="15" hidden="false" customHeight="false" outlineLevel="0" collapsed="false">
      <c r="A40" s="19" t="n">
        <f aca="false">A39+1</f>
        <v>38</v>
      </c>
      <c r="B40" s="19" t="n">
        <f aca="false">IF($A40="","",ROUNDUP($A40/12,0))</f>
        <v>4</v>
      </c>
      <c r="C40" s="19" t="n">
        <f aca="false">IF($A40="","",PARAMETROS!$C$6+INT(($A40-1)/12))</f>
        <v>68</v>
      </c>
      <c r="D40" s="19" t="n">
        <f aca="false">IF($A40="","",MOD($A40-1,12)+1)</f>
        <v>2</v>
      </c>
      <c r="E40" s="20" t="n">
        <f aca="false">IF($A40&gt;PARAMETROS!$C$33,"",P39)</f>
        <v>1042027.48154876</v>
      </c>
      <c r="F40" s="21" t="n">
        <f aca="false">IF($A40&gt;PARAMETROS!$C$33,"",PARAMETROS!$C$38)</f>
        <v>0.00495440818448101</v>
      </c>
      <c r="G40" s="20" t="n">
        <f aca="false">IF($A40&gt;PARAMETROS!$C$33,"",E40*F40)</f>
        <v>5162.62948303928</v>
      </c>
      <c r="H40" s="20" t="n">
        <f aca="false">IF($A40&gt;PARAMETROS!$C$33,"",E40*PARAMETROS!$C$39)</f>
        <v>778.315254536838</v>
      </c>
      <c r="I40" s="20" t="n">
        <f aca="false">IF($A40&gt;PARAMETROS!$C$33,"",G40-H40)</f>
        <v>4384.31422850245</v>
      </c>
      <c r="J40" s="20" t="n">
        <f aca="false">IF($A40&gt;PARAMETROS!$C$33,"",PARAMETROS!$C$9*(1+PARAMETROS!$C$17)^(B40-1))</f>
        <v>33687.54728952</v>
      </c>
      <c r="K40" s="20" t="n">
        <f aca="false">IF($A40&gt;PARAMETROS!$C$33,"",K39*(1+PARAMETROS!$C$36))</f>
        <v>29053.8428123532</v>
      </c>
      <c r="L40" s="20" t="n">
        <f aca="false">IF($A40&gt;PARAMETROS!$C$33,"",L39*(1+PARAMETROS!$C$37)*(1+M40))</f>
        <v>8110.60102130763</v>
      </c>
      <c r="M40" s="21" t="n">
        <f aca="false">IF($A40&gt;PARAMETROS!$C$33,"",IF(C40&lt;70,PARAMETROS!$C$40,IF(C40&lt;75,PARAMETROS!$C$41,IF(C40&lt;80,PARAMETROS!$C$42,IF(C40&lt;85,PARAMETROS!$C$43,IF(C40&lt;90,PARAMETROS!$C$44,PARAMETROS!$C$45))))))</f>
        <v>0.00246626977230369</v>
      </c>
      <c r="N40" s="20" t="n">
        <f aca="false">IF($A40&gt;PARAMETROS!$C$33,"",K40+L40)</f>
        <v>37164.4438336608</v>
      </c>
      <c r="O40" s="20" t="n">
        <f aca="false">IF($A40&gt;PARAMETROS!$C$33,"",I40+J40-N40)</f>
        <v>907.417684361622</v>
      </c>
      <c r="P40" s="20" t="n">
        <f aca="false">IF($A40&gt;PARAMETROS!$C$33,"",MAX(E40+I40+J40-N40,0))</f>
        <v>1042934.89923312</v>
      </c>
      <c r="Q40" s="22" t="str">
        <f aca="false">IF($A40&gt;PARAMETROS!$C$33,"",IF(P40&lt;=0,"AGOTADO","OK"))</f>
        <v>OK</v>
      </c>
    </row>
    <row r="41" customFormat="false" ht="15" hidden="false" customHeight="false" outlineLevel="0" collapsed="false">
      <c r="A41" s="19" t="n">
        <f aca="false">A40+1</f>
        <v>39</v>
      </c>
      <c r="B41" s="19" t="n">
        <f aca="false">IF($A41="","",ROUNDUP($A41/12,0))</f>
        <v>4</v>
      </c>
      <c r="C41" s="19" t="n">
        <f aca="false">IF($A41="","",PARAMETROS!$C$6+INT(($A41-1)/12))</f>
        <v>68</v>
      </c>
      <c r="D41" s="19" t="n">
        <f aca="false">IF($A41="","",MOD($A41-1,12)+1)</f>
        <v>3</v>
      </c>
      <c r="E41" s="20" t="n">
        <f aca="false">IF($A41&gt;PARAMETROS!$C$33,"",P40)</f>
        <v>1042934.89923312</v>
      </c>
      <c r="F41" s="21" t="n">
        <f aca="false">IF($A41&gt;PARAMETROS!$C$33,"",PARAMETROS!$C$38)</f>
        <v>0.00495440818448101</v>
      </c>
      <c r="G41" s="20" t="n">
        <f aca="false">IF($A41&gt;PARAMETROS!$C$33,"",E41*F41)</f>
        <v>5167.12520064143</v>
      </c>
      <c r="H41" s="20" t="n">
        <f aca="false">IF($A41&gt;PARAMETROS!$C$33,"",E41*PARAMETROS!$C$39)</f>
        <v>778.993026513567</v>
      </c>
      <c r="I41" s="20" t="n">
        <f aca="false">IF($A41&gt;PARAMETROS!$C$33,"",G41-H41)</f>
        <v>4388.13217412786</v>
      </c>
      <c r="J41" s="20" t="n">
        <f aca="false">IF($A41&gt;PARAMETROS!$C$33,"",PARAMETROS!$C$9*(1+PARAMETROS!$C$17)^(B41-1))</f>
        <v>33687.54728952</v>
      </c>
      <c r="K41" s="20" t="n">
        <f aca="false">IF($A41&gt;PARAMETROS!$C$33,"",K40*(1+PARAMETROS!$C$36))</f>
        <v>29153.3915637597</v>
      </c>
      <c r="L41" s="20" t="n">
        <f aca="false">IF($A41&gt;PARAMETROS!$C$33,"",L40*(1+PARAMETROS!$C$37)*(1+M41))</f>
        <v>8162.69164964587</v>
      </c>
      <c r="M41" s="21" t="n">
        <f aca="false">IF($A41&gt;PARAMETROS!$C$33,"",IF(C41&lt;70,PARAMETROS!$C$40,IF(C41&lt;75,PARAMETROS!$C$41,IF(C41&lt;80,PARAMETROS!$C$42,IF(C41&lt;85,PARAMETROS!$C$43,IF(C41&lt;90,PARAMETROS!$C$44,PARAMETROS!$C$45))))))</f>
        <v>0.00246626977230369</v>
      </c>
      <c r="N41" s="20" t="n">
        <f aca="false">IF($A41&gt;PARAMETROS!$C$33,"",K41+L41)</f>
        <v>37316.0832134055</v>
      </c>
      <c r="O41" s="20" t="n">
        <f aca="false">IF($A41&gt;PARAMETROS!$C$33,"",I41+J41-N41)</f>
        <v>759.59625024235</v>
      </c>
      <c r="P41" s="20" t="n">
        <f aca="false">IF($A41&gt;PARAMETROS!$C$33,"",MAX(E41+I41+J41-N41,0))</f>
        <v>1043694.49548336</v>
      </c>
      <c r="Q41" s="22" t="str">
        <f aca="false">IF($A41&gt;PARAMETROS!$C$33,"",IF(P41&lt;=0,"AGOTADO","OK"))</f>
        <v>OK</v>
      </c>
    </row>
    <row r="42" customFormat="false" ht="15" hidden="false" customHeight="false" outlineLevel="0" collapsed="false">
      <c r="A42" s="19" t="n">
        <f aca="false">A41+1</f>
        <v>40</v>
      </c>
      <c r="B42" s="19" t="n">
        <f aca="false">IF($A42="","",ROUNDUP($A42/12,0))</f>
        <v>4</v>
      </c>
      <c r="C42" s="19" t="n">
        <f aca="false">IF($A42="","",PARAMETROS!$C$6+INT(($A42-1)/12))</f>
        <v>68</v>
      </c>
      <c r="D42" s="19" t="n">
        <f aca="false">IF($A42="","",MOD($A42-1,12)+1)</f>
        <v>4</v>
      </c>
      <c r="E42" s="20" t="n">
        <f aca="false">IF($A42&gt;PARAMETROS!$C$33,"",P41)</f>
        <v>1043694.49548336</v>
      </c>
      <c r="F42" s="21" t="n">
        <f aca="false">IF($A42&gt;PARAMETROS!$C$33,"",PARAMETROS!$C$38)</f>
        <v>0.00495440818448101</v>
      </c>
      <c r="G42" s="20" t="n">
        <f aca="false">IF($A42&gt;PARAMETROS!$C$33,"",E42*F42)</f>
        <v>5170.88855052053</v>
      </c>
      <c r="H42" s="20" t="n">
        <f aca="false">IF($A42&gt;PARAMETROS!$C$33,"",E42*PARAMETROS!$C$39)</f>
        <v>779.560387124799</v>
      </c>
      <c r="I42" s="20" t="n">
        <f aca="false">IF($A42&gt;PARAMETROS!$C$33,"",G42-H42)</f>
        <v>4391.32816339573</v>
      </c>
      <c r="J42" s="20" t="n">
        <f aca="false">IF($A42&gt;PARAMETROS!$C$33,"",PARAMETROS!$C$9*(1+PARAMETROS!$C$17)^(B42-1))</f>
        <v>33687.54728952</v>
      </c>
      <c r="K42" s="20" t="n">
        <f aca="false">IF($A42&gt;PARAMETROS!$C$33,"",K41*(1+PARAMETROS!$C$36))</f>
        <v>29253.2814044317</v>
      </c>
      <c r="L42" s="20" t="n">
        <f aca="false">IF($A42&gt;PARAMETROS!$C$33,"",L41*(1+PARAMETROS!$C$37)*(1+M42))</f>
        <v>8215.1168319282</v>
      </c>
      <c r="M42" s="21" t="n">
        <f aca="false">IF($A42&gt;PARAMETROS!$C$33,"",IF(C42&lt;70,PARAMETROS!$C$40,IF(C42&lt;75,PARAMETROS!$C$41,IF(C42&lt;80,PARAMETROS!$C$42,IF(C42&lt;85,PARAMETROS!$C$43,IF(C42&lt;90,PARAMETROS!$C$44,PARAMETROS!$C$45))))))</f>
        <v>0.00246626977230369</v>
      </c>
      <c r="N42" s="20" t="n">
        <f aca="false">IF($A42&gt;PARAMETROS!$C$33,"",K42+L42)</f>
        <v>37468.3982363599</v>
      </c>
      <c r="O42" s="20" t="n">
        <f aca="false">IF($A42&gt;PARAMETROS!$C$33,"",I42+J42-N42)</f>
        <v>610.477216555875</v>
      </c>
      <c r="P42" s="20" t="n">
        <f aca="false">IF($A42&gt;PARAMETROS!$C$33,"",MAX(E42+I42+J42-N42,0))</f>
        <v>1044304.97269992</v>
      </c>
      <c r="Q42" s="22" t="str">
        <f aca="false">IF($A42&gt;PARAMETROS!$C$33,"",IF(P42&lt;=0,"AGOTADO","OK"))</f>
        <v>OK</v>
      </c>
    </row>
    <row r="43" customFormat="false" ht="15" hidden="false" customHeight="false" outlineLevel="0" collapsed="false">
      <c r="A43" s="19" t="n">
        <f aca="false">A42+1</f>
        <v>41</v>
      </c>
      <c r="B43" s="19" t="n">
        <f aca="false">IF($A43="","",ROUNDUP($A43/12,0))</f>
        <v>4</v>
      </c>
      <c r="C43" s="19" t="n">
        <f aca="false">IF($A43="","",PARAMETROS!$C$6+INT(($A43-1)/12))</f>
        <v>68</v>
      </c>
      <c r="D43" s="19" t="n">
        <f aca="false">IF($A43="","",MOD($A43-1,12)+1)</f>
        <v>5</v>
      </c>
      <c r="E43" s="20" t="n">
        <f aca="false">IF($A43&gt;PARAMETROS!$C$33,"",P42)</f>
        <v>1044304.97269992</v>
      </c>
      <c r="F43" s="21" t="n">
        <f aca="false">IF($A43&gt;PARAMETROS!$C$33,"",PARAMETROS!$C$38)</f>
        <v>0.00495440818448101</v>
      </c>
      <c r="G43" s="20" t="n">
        <f aca="false">IF($A43&gt;PARAMETROS!$C$33,"",E43*F43)</f>
        <v>5173.91310383867</v>
      </c>
      <c r="H43" s="20" t="n">
        <f aca="false">IF($A43&gt;PARAMETROS!$C$33,"",E43*PARAMETROS!$C$39)</f>
        <v>780.016367162376</v>
      </c>
      <c r="I43" s="20" t="n">
        <f aca="false">IF($A43&gt;PARAMETROS!$C$33,"",G43-H43)</f>
        <v>4393.8967366763</v>
      </c>
      <c r="J43" s="20" t="n">
        <f aca="false">IF($A43&gt;PARAMETROS!$C$33,"",PARAMETROS!$C$9*(1+PARAMETROS!$C$17)^(B43-1))</f>
        <v>33687.54728952</v>
      </c>
      <c r="K43" s="20" t="n">
        <f aca="false">IF($A43&gt;PARAMETROS!$C$33,"",K42*(1+PARAMETROS!$C$36))</f>
        <v>29353.5135030618</v>
      </c>
      <c r="L43" s="20" t="n">
        <f aca="false">IF($A43&gt;PARAMETROS!$C$33,"",L42*(1+PARAMETROS!$C$37)*(1+M43))</f>
        <v>8267.87871683943</v>
      </c>
      <c r="M43" s="21" t="n">
        <f aca="false">IF($A43&gt;PARAMETROS!$C$33,"",IF(C43&lt;70,PARAMETROS!$C$40,IF(C43&lt;75,PARAMETROS!$C$41,IF(C43&lt;80,PARAMETROS!$C$42,IF(C43&lt;85,PARAMETROS!$C$43,IF(C43&lt;90,PARAMETROS!$C$44,PARAMETROS!$C$45))))))</f>
        <v>0.00246626977230369</v>
      </c>
      <c r="N43" s="20" t="n">
        <f aca="false">IF($A43&gt;PARAMETROS!$C$33,"",K43+L43)</f>
        <v>37621.3922199013</v>
      </c>
      <c r="O43" s="20" t="n">
        <f aca="false">IF($A43&gt;PARAMETROS!$C$33,"",I43+J43-N43)</f>
        <v>460.051806295043</v>
      </c>
      <c r="P43" s="20" t="n">
        <f aca="false">IF($A43&gt;PARAMETROS!$C$33,"",MAX(E43+I43+J43-N43,0))</f>
        <v>1044765.02450621</v>
      </c>
      <c r="Q43" s="22" t="str">
        <f aca="false">IF($A43&gt;PARAMETROS!$C$33,"",IF(P43&lt;=0,"AGOTADO","OK"))</f>
        <v>OK</v>
      </c>
    </row>
    <row r="44" customFormat="false" ht="15" hidden="false" customHeight="false" outlineLevel="0" collapsed="false">
      <c r="A44" s="19" t="n">
        <f aca="false">A43+1</f>
        <v>42</v>
      </c>
      <c r="B44" s="19" t="n">
        <f aca="false">IF($A44="","",ROUNDUP($A44/12,0))</f>
        <v>4</v>
      </c>
      <c r="C44" s="19" t="n">
        <f aca="false">IF($A44="","",PARAMETROS!$C$6+INT(($A44-1)/12))</f>
        <v>68</v>
      </c>
      <c r="D44" s="19" t="n">
        <f aca="false">IF($A44="","",MOD($A44-1,12)+1)</f>
        <v>6</v>
      </c>
      <c r="E44" s="20" t="n">
        <f aca="false">IF($A44&gt;PARAMETROS!$C$33,"",P43)</f>
        <v>1044765.02450621</v>
      </c>
      <c r="F44" s="21" t="n">
        <f aca="false">IF($A44&gt;PARAMETROS!$C$33,"",PARAMETROS!$C$38)</f>
        <v>0.00495440818448101</v>
      </c>
      <c r="G44" s="20" t="n">
        <f aca="false">IF($A44&gt;PARAMETROS!$C$33,"",E44*F44)</f>
        <v>5176.19238827307</v>
      </c>
      <c r="H44" s="20" t="n">
        <f aca="false">IF($A44&gt;PARAMETROS!$C$33,"",E44*PARAMETROS!$C$39)</f>
        <v>780.359990862381</v>
      </c>
      <c r="I44" s="20" t="n">
        <f aca="false">IF($A44&gt;PARAMETROS!$C$33,"",G44-H44)</f>
        <v>4395.83239741069</v>
      </c>
      <c r="J44" s="20" t="n">
        <f aca="false">IF($A44&gt;PARAMETROS!$C$33,"",PARAMETROS!$C$9*(1+PARAMETROS!$C$17)^(B44-1))</f>
        <v>33687.54728952</v>
      </c>
      <c r="K44" s="20" t="n">
        <f aca="false">IF($A44&gt;PARAMETROS!$C$33,"",K43*(1+PARAMETROS!$C$36))</f>
        <v>29454.0890323471</v>
      </c>
      <c r="L44" s="20" t="n">
        <f aca="false">IF($A44&gt;PARAMETROS!$C$33,"",L43*(1+PARAMETROS!$C$37)*(1+M44))</f>
        <v>8320.97946686436</v>
      </c>
      <c r="M44" s="21" t="n">
        <f aca="false">IF($A44&gt;PARAMETROS!$C$33,"",IF(C44&lt;70,PARAMETROS!$C$40,IF(C44&lt;75,PARAMETROS!$C$41,IF(C44&lt;80,PARAMETROS!$C$42,IF(C44&lt;85,PARAMETROS!$C$43,IF(C44&lt;90,PARAMETROS!$C$44,PARAMETROS!$C$45))))))</f>
        <v>0.00246626977230369</v>
      </c>
      <c r="N44" s="20" t="n">
        <f aca="false">IF($A44&gt;PARAMETROS!$C$33,"",K44+L44)</f>
        <v>37775.0684992114</v>
      </c>
      <c r="O44" s="20" t="n">
        <f aca="false">IF($A44&gt;PARAMETROS!$C$33,"",I44+J44-N44)</f>
        <v>308.311187719264</v>
      </c>
      <c r="P44" s="20" t="n">
        <f aca="false">IF($A44&gt;PARAMETROS!$C$33,"",MAX(E44+I44+J44-N44,0))</f>
        <v>1045073.33569393</v>
      </c>
      <c r="Q44" s="22" t="str">
        <f aca="false">IF($A44&gt;PARAMETROS!$C$33,"",IF(P44&lt;=0,"AGOTADO","OK"))</f>
        <v>OK</v>
      </c>
    </row>
    <row r="45" customFormat="false" ht="15" hidden="false" customHeight="false" outlineLevel="0" collapsed="false">
      <c r="A45" s="19" t="n">
        <f aca="false">A44+1</f>
        <v>43</v>
      </c>
      <c r="B45" s="19" t="n">
        <f aca="false">IF($A45="","",ROUNDUP($A45/12,0))</f>
        <v>4</v>
      </c>
      <c r="C45" s="19" t="n">
        <f aca="false">IF($A45="","",PARAMETROS!$C$6+INT(($A45-1)/12))</f>
        <v>68</v>
      </c>
      <c r="D45" s="19" t="n">
        <f aca="false">IF($A45="","",MOD($A45-1,12)+1)</f>
        <v>7</v>
      </c>
      <c r="E45" s="20" t="n">
        <f aca="false">IF($A45&gt;PARAMETROS!$C$33,"",P44)</f>
        <v>1045073.33569393</v>
      </c>
      <c r="F45" s="21" t="n">
        <f aca="false">IF($A45&gt;PARAMETROS!$C$33,"",PARAMETROS!$C$38)</f>
        <v>0.00495440818448101</v>
      </c>
      <c r="G45" s="20" t="n">
        <f aca="false">IF($A45&gt;PARAMETROS!$C$33,"",E45*F45)</f>
        <v>5177.71988774487</v>
      </c>
      <c r="H45" s="20" t="n">
        <f aca="false">IF($A45&gt;PARAMETROS!$C$33,"",E45*PARAMETROS!$C$39)</f>
        <v>780.59027586426</v>
      </c>
      <c r="I45" s="20" t="n">
        <f aca="false">IF($A45&gt;PARAMETROS!$C$33,"",G45-H45)</f>
        <v>4397.12961188061</v>
      </c>
      <c r="J45" s="20" t="n">
        <f aca="false">IF($A45&gt;PARAMETROS!$C$33,"",PARAMETROS!$C$9*(1+PARAMETROS!$C$17)^(B45-1))</f>
        <v>33687.54728952</v>
      </c>
      <c r="K45" s="20" t="n">
        <f aca="false">IF($A45&gt;PARAMETROS!$C$33,"",K44*(1+PARAMETROS!$C$36))</f>
        <v>29555.0091690024</v>
      </c>
      <c r="L45" s="20" t="n">
        <f aca="false">IF($A45&gt;PARAMETROS!$C$33,"",L44*(1+PARAMETROS!$C$37)*(1+M45))</f>
        <v>8374.42125837646</v>
      </c>
      <c r="M45" s="21" t="n">
        <f aca="false">IF($A45&gt;PARAMETROS!$C$33,"",IF(C45&lt;70,PARAMETROS!$C$40,IF(C45&lt;75,PARAMETROS!$C$41,IF(C45&lt;80,PARAMETROS!$C$42,IF(C45&lt;85,PARAMETROS!$C$43,IF(C45&lt;90,PARAMETROS!$C$44,PARAMETROS!$C$45))))))</f>
        <v>0.00246626977230369</v>
      </c>
      <c r="N45" s="20" t="n">
        <f aca="false">IF($A45&gt;PARAMETROS!$C$33,"",K45+L45)</f>
        <v>37929.4304273788</v>
      </c>
      <c r="O45" s="20" t="n">
        <f aca="false">IF($A45&gt;PARAMETROS!$C$33,"",I45+J45-N45)</f>
        <v>155.246474021784</v>
      </c>
      <c r="P45" s="20" t="n">
        <f aca="false">IF($A45&gt;PARAMETROS!$C$33,"",MAX(E45+I45+J45-N45,0))</f>
        <v>1045228.58216795</v>
      </c>
      <c r="Q45" s="22" t="str">
        <f aca="false">IF($A45&gt;PARAMETROS!$C$33,"",IF(P45&lt;=0,"AGOTADO","OK"))</f>
        <v>OK</v>
      </c>
    </row>
    <row r="46" customFormat="false" ht="15" hidden="false" customHeight="false" outlineLevel="0" collapsed="false">
      <c r="A46" s="19" t="n">
        <f aca="false">A45+1</f>
        <v>44</v>
      </c>
      <c r="B46" s="19" t="n">
        <f aca="false">IF($A46="","",ROUNDUP($A46/12,0))</f>
        <v>4</v>
      </c>
      <c r="C46" s="19" t="n">
        <f aca="false">IF($A46="","",PARAMETROS!$C$6+INT(($A46-1)/12))</f>
        <v>68</v>
      </c>
      <c r="D46" s="19" t="n">
        <f aca="false">IF($A46="","",MOD($A46-1,12)+1)</f>
        <v>8</v>
      </c>
      <c r="E46" s="20" t="n">
        <f aca="false">IF($A46&gt;PARAMETROS!$C$33,"",P45)</f>
        <v>1045228.58216795</v>
      </c>
      <c r="F46" s="21" t="n">
        <f aca="false">IF($A46&gt;PARAMETROS!$C$33,"",PARAMETROS!$C$38)</f>
        <v>0.00495440818448101</v>
      </c>
      <c r="G46" s="20" t="n">
        <f aca="false">IF($A46&gt;PARAMETROS!$C$33,"",E46*F46)</f>
        <v>5178.48904214637</v>
      </c>
      <c r="H46" s="20" t="n">
        <f aca="false">IF($A46&gt;PARAMETROS!$C$33,"",E46*PARAMETROS!$C$39)</f>
        <v>780.706233169689</v>
      </c>
      <c r="I46" s="20" t="n">
        <f aca="false">IF($A46&gt;PARAMETROS!$C$33,"",G46-H46)</f>
        <v>4397.78280897668</v>
      </c>
      <c r="J46" s="20" t="n">
        <f aca="false">IF($A46&gt;PARAMETROS!$C$33,"",PARAMETROS!$C$9*(1+PARAMETROS!$C$17)^(B46-1))</f>
        <v>33687.54728952</v>
      </c>
      <c r="K46" s="20" t="n">
        <f aca="false">IF($A46&gt;PARAMETROS!$C$33,"",K45*(1+PARAMETROS!$C$36))</f>
        <v>29656.2750937746</v>
      </c>
      <c r="L46" s="20" t="n">
        <f aca="false">IF($A46&gt;PARAMETROS!$C$33,"",L45*(1+PARAMETROS!$C$37)*(1+M46))</f>
        <v>8428.20628172699</v>
      </c>
      <c r="M46" s="21" t="n">
        <f aca="false">IF($A46&gt;PARAMETROS!$C$33,"",IF(C46&lt;70,PARAMETROS!$C$40,IF(C46&lt;75,PARAMETROS!$C$41,IF(C46&lt;80,PARAMETROS!$C$42,IF(C46&lt;85,PARAMETROS!$C$43,IF(C46&lt;90,PARAMETROS!$C$44,PARAMETROS!$C$45))))))</f>
        <v>0.00246626977230369</v>
      </c>
      <c r="N46" s="20" t="n">
        <f aca="false">IF($A46&gt;PARAMETROS!$C$33,"",K46+L46)</f>
        <v>38084.4813755016</v>
      </c>
      <c r="O46" s="20" t="n">
        <f aca="false">IF($A46&gt;PARAMETROS!$C$33,"",I46+J46-N46)</f>
        <v>0.848722995069693</v>
      </c>
      <c r="P46" s="20" t="n">
        <f aca="false">IF($A46&gt;PARAMETROS!$C$33,"",MAX(E46+I46+J46-N46,0))</f>
        <v>1045229.43089095</v>
      </c>
      <c r="Q46" s="22" t="str">
        <f aca="false">IF($A46&gt;PARAMETROS!$C$33,"",IF(P46&lt;=0,"AGOTADO","OK"))</f>
        <v>OK</v>
      </c>
    </row>
    <row r="47" customFormat="false" ht="15" hidden="false" customHeight="false" outlineLevel="0" collapsed="false">
      <c r="A47" s="19" t="n">
        <f aca="false">A46+1</f>
        <v>45</v>
      </c>
      <c r="B47" s="19" t="n">
        <f aca="false">IF($A47="","",ROUNDUP($A47/12,0))</f>
        <v>4</v>
      </c>
      <c r="C47" s="19" t="n">
        <f aca="false">IF($A47="","",PARAMETROS!$C$6+INT(($A47-1)/12))</f>
        <v>68</v>
      </c>
      <c r="D47" s="19" t="n">
        <f aca="false">IF($A47="","",MOD($A47-1,12)+1)</f>
        <v>9</v>
      </c>
      <c r="E47" s="20" t="n">
        <f aca="false">IF($A47&gt;PARAMETROS!$C$33,"",P46)</f>
        <v>1045229.43089095</v>
      </c>
      <c r="F47" s="21" t="n">
        <f aca="false">IF($A47&gt;PARAMETROS!$C$33,"",PARAMETROS!$C$38)</f>
        <v>0.00495440818448101</v>
      </c>
      <c r="G47" s="20" t="n">
        <f aca="false">IF($A47&gt;PARAMETROS!$C$33,"",E47*F47)</f>
        <v>5178.49324706653</v>
      </c>
      <c r="H47" s="20" t="n">
        <f aca="false">IF($A47&gt;PARAMETROS!$C$33,"",E47*PARAMETROS!$C$39)</f>
        <v>780.706867101198</v>
      </c>
      <c r="I47" s="20" t="n">
        <f aca="false">IF($A47&gt;PARAMETROS!$C$33,"",G47-H47)</f>
        <v>4397.78637996533</v>
      </c>
      <c r="J47" s="20" t="n">
        <f aca="false">IF($A47&gt;PARAMETROS!$C$33,"",PARAMETROS!$C$9*(1+PARAMETROS!$C$17)^(B47-1))</f>
        <v>33687.54728952</v>
      </c>
      <c r="K47" s="20" t="n">
        <f aca="false">IF($A47&gt;PARAMETROS!$C$33,"",K46*(1+PARAMETROS!$C$36))</f>
        <v>29757.8879914563</v>
      </c>
      <c r="L47" s="20" t="n">
        <f aca="false">IF($A47&gt;PARAMETROS!$C$33,"",L46*(1+PARAMETROS!$C$37)*(1+M47))</f>
        <v>8482.33674133485</v>
      </c>
      <c r="M47" s="21" t="n">
        <f aca="false">IF($A47&gt;PARAMETROS!$C$33,"",IF(C47&lt;70,PARAMETROS!$C$40,IF(C47&lt;75,PARAMETROS!$C$41,IF(C47&lt;80,PARAMETROS!$C$42,IF(C47&lt;85,PARAMETROS!$C$43,IF(C47&lt;90,PARAMETROS!$C$44,PARAMETROS!$C$45))))))</f>
        <v>0.00246626977230369</v>
      </c>
      <c r="N47" s="20" t="n">
        <f aca="false">IF($A47&gt;PARAMETROS!$C$33,"",K47+L47)</f>
        <v>38240.2247327912</v>
      </c>
      <c r="O47" s="20" t="n">
        <f aca="false">IF($A47&gt;PARAMETROS!$C$33,"",I47+J47-N47)</f>
        <v>-154.89106330584</v>
      </c>
      <c r="P47" s="20" t="n">
        <f aca="false">IF($A47&gt;PARAMETROS!$C$33,"",MAX(E47+I47+J47-N47,0))</f>
        <v>1045074.53982764</v>
      </c>
      <c r="Q47" s="22" t="str">
        <f aca="false">IF($A47&gt;PARAMETROS!$C$33,"",IF(P47&lt;=0,"AGOTADO","OK"))</f>
        <v>OK</v>
      </c>
    </row>
    <row r="48" customFormat="false" ht="15" hidden="false" customHeight="false" outlineLevel="0" collapsed="false">
      <c r="A48" s="19" t="n">
        <f aca="false">A47+1</f>
        <v>46</v>
      </c>
      <c r="B48" s="19" t="n">
        <f aca="false">IF($A48="","",ROUNDUP($A48/12,0))</f>
        <v>4</v>
      </c>
      <c r="C48" s="19" t="n">
        <f aca="false">IF($A48="","",PARAMETROS!$C$6+INT(($A48-1)/12))</f>
        <v>68</v>
      </c>
      <c r="D48" s="19" t="n">
        <f aca="false">IF($A48="","",MOD($A48-1,12)+1)</f>
        <v>10</v>
      </c>
      <c r="E48" s="20" t="n">
        <f aca="false">IF($A48&gt;PARAMETROS!$C$33,"",P47)</f>
        <v>1045074.53982764</v>
      </c>
      <c r="F48" s="21" t="n">
        <f aca="false">IF($A48&gt;PARAMETROS!$C$33,"",PARAMETROS!$C$38)</f>
        <v>0.00495440818448101</v>
      </c>
      <c r="G48" s="20" t="n">
        <f aca="false">IF($A48&gt;PARAMETROS!$C$33,"",E48*F48)</f>
        <v>5177.72585351478</v>
      </c>
      <c r="H48" s="20" t="n">
        <f aca="false">IF($A48&gt;PARAMETROS!$C$33,"",E48*PARAMETROS!$C$39)</f>
        <v>780.591175260535</v>
      </c>
      <c r="I48" s="20" t="n">
        <f aca="false">IF($A48&gt;PARAMETROS!$C$33,"",G48-H48)</f>
        <v>4397.13467825425</v>
      </c>
      <c r="J48" s="20" t="n">
        <f aca="false">IF($A48&gt;PARAMETROS!$C$33,"",PARAMETROS!$C$9*(1+PARAMETROS!$C$17)^(B48-1))</f>
        <v>33687.54728952</v>
      </c>
      <c r="K48" s="20" t="n">
        <f aca="false">IF($A48&gt;PARAMETROS!$C$33,"",K47*(1+PARAMETROS!$C$36))</f>
        <v>29859.8490508995</v>
      </c>
      <c r="L48" s="20" t="n">
        <f aca="false">IF($A48&gt;PARAMETROS!$C$33,"",L47*(1+PARAMETROS!$C$37)*(1+M48))</f>
        <v>8536.8148557769</v>
      </c>
      <c r="M48" s="21" t="n">
        <f aca="false">IF($A48&gt;PARAMETROS!$C$33,"",IF(C48&lt;70,PARAMETROS!$C$40,IF(C48&lt;75,PARAMETROS!$C$41,IF(C48&lt;80,PARAMETROS!$C$42,IF(C48&lt;85,PARAMETROS!$C$43,IF(C48&lt;90,PARAMETROS!$C$44,PARAMETROS!$C$45))))))</f>
        <v>0.00246626977230369</v>
      </c>
      <c r="N48" s="20" t="n">
        <f aca="false">IF($A48&gt;PARAMETROS!$C$33,"",K48+L48)</f>
        <v>38396.6639066764</v>
      </c>
      <c r="O48" s="20" t="n">
        <f aca="false">IF($A48&gt;PARAMETROS!$C$33,"",I48+J48-N48)</f>
        <v>-311.981938902143</v>
      </c>
      <c r="P48" s="20" t="n">
        <f aca="false">IF($A48&gt;PARAMETROS!$C$33,"",MAX(E48+I48+J48-N48,0))</f>
        <v>1044762.55788874</v>
      </c>
      <c r="Q48" s="22" t="str">
        <f aca="false">IF($A48&gt;PARAMETROS!$C$33,"",IF(P48&lt;=0,"AGOTADO","OK"))</f>
        <v>OK</v>
      </c>
    </row>
    <row r="49" customFormat="false" ht="15" hidden="false" customHeight="false" outlineLevel="0" collapsed="false">
      <c r="A49" s="19" t="n">
        <f aca="false">A48+1</f>
        <v>47</v>
      </c>
      <c r="B49" s="19" t="n">
        <f aca="false">IF($A49="","",ROUNDUP($A49/12,0))</f>
        <v>4</v>
      </c>
      <c r="C49" s="19" t="n">
        <f aca="false">IF($A49="","",PARAMETROS!$C$6+INT(($A49-1)/12))</f>
        <v>68</v>
      </c>
      <c r="D49" s="19" t="n">
        <f aca="false">IF($A49="","",MOD($A49-1,12)+1)</f>
        <v>11</v>
      </c>
      <c r="E49" s="20" t="n">
        <f aca="false">IF($A49&gt;PARAMETROS!$C$33,"",P48)</f>
        <v>1044762.55788874</v>
      </c>
      <c r="F49" s="21" t="n">
        <f aca="false">IF($A49&gt;PARAMETROS!$C$33,"",PARAMETROS!$C$38)</f>
        <v>0.00495440818448101</v>
      </c>
      <c r="G49" s="20" t="n">
        <f aca="false">IF($A49&gt;PARAMETROS!$C$33,"",E49*F49)</f>
        <v>5176.18016764328</v>
      </c>
      <c r="H49" s="20" t="n">
        <f aca="false">IF($A49&gt;PARAMETROS!$C$33,"",E49*PARAMETROS!$C$39)</f>
        <v>780.358148486782</v>
      </c>
      <c r="I49" s="20" t="n">
        <f aca="false">IF($A49&gt;PARAMETROS!$C$33,"",G49-H49)</f>
        <v>4395.82201915649</v>
      </c>
      <c r="J49" s="20" t="n">
        <f aca="false">IF($A49&gt;PARAMETROS!$C$33,"",PARAMETROS!$C$9*(1+PARAMETROS!$C$17)^(B49-1))</f>
        <v>33687.54728952</v>
      </c>
      <c r="K49" s="20" t="n">
        <f aca="false">IF($A49&gt;PARAMETROS!$C$33,"",K48*(1+PARAMETROS!$C$36))</f>
        <v>29962.1594650296</v>
      </c>
      <c r="L49" s="20" t="n">
        <f aca="false">IF($A49&gt;PARAMETROS!$C$33,"",L48*(1+PARAMETROS!$C$37)*(1+M49))</f>
        <v>8591.64285787888</v>
      </c>
      <c r="M49" s="21" t="n">
        <f aca="false">IF($A49&gt;PARAMETROS!$C$33,"",IF(C49&lt;70,PARAMETROS!$C$40,IF(C49&lt;75,PARAMETROS!$C$41,IF(C49&lt;80,PARAMETROS!$C$42,IF(C49&lt;85,PARAMETROS!$C$43,IF(C49&lt;90,PARAMETROS!$C$44,PARAMETROS!$C$45))))))</f>
        <v>0.00246626977230369</v>
      </c>
      <c r="N49" s="20" t="n">
        <f aca="false">IF($A49&gt;PARAMETROS!$C$33,"",K49+L49)</f>
        <v>38553.8023229085</v>
      </c>
      <c r="O49" s="20" t="n">
        <f aca="false">IF($A49&gt;PARAMETROS!$C$33,"",I49+J49-N49)</f>
        <v>-470.433014231967</v>
      </c>
      <c r="P49" s="20" t="n">
        <f aca="false">IF($A49&gt;PARAMETROS!$C$33,"",MAX(E49+I49+J49-N49,0))</f>
        <v>1044292.12487451</v>
      </c>
      <c r="Q49" s="22" t="str">
        <f aca="false">IF($A49&gt;PARAMETROS!$C$33,"",IF(P49&lt;=0,"AGOTADO","OK"))</f>
        <v>OK</v>
      </c>
    </row>
    <row r="50" customFormat="false" ht="15" hidden="false" customHeight="false" outlineLevel="0" collapsed="false">
      <c r="A50" s="19" t="n">
        <f aca="false">A49+1</f>
        <v>48</v>
      </c>
      <c r="B50" s="19" t="n">
        <f aca="false">IF($A50="","",ROUNDUP($A50/12,0))</f>
        <v>4</v>
      </c>
      <c r="C50" s="19" t="n">
        <f aca="false">IF($A50="","",PARAMETROS!$C$6+INT(($A50-1)/12))</f>
        <v>68</v>
      </c>
      <c r="D50" s="19" t="n">
        <f aca="false">IF($A50="","",MOD($A50-1,12)+1)</f>
        <v>12</v>
      </c>
      <c r="E50" s="20" t="n">
        <f aca="false">IF($A50&gt;PARAMETROS!$C$33,"",P49)</f>
        <v>1044292.12487451</v>
      </c>
      <c r="F50" s="21" t="n">
        <f aca="false">IF($A50&gt;PARAMETROS!$C$33,"",PARAMETROS!$C$38)</f>
        <v>0.00495440818448101</v>
      </c>
      <c r="G50" s="20" t="n">
        <f aca="false">IF($A50&gt;PARAMETROS!$C$33,"",E50*F50)</f>
        <v>5173.84945046731</v>
      </c>
      <c r="H50" s="20" t="n">
        <f aca="false">IF($A50&gt;PARAMETROS!$C$33,"",E50*PARAMETROS!$C$39)</f>
        <v>780.006770814218</v>
      </c>
      <c r="I50" s="20" t="n">
        <f aca="false">IF($A50&gt;PARAMETROS!$C$33,"",G50-H50)</f>
        <v>4393.8426796531</v>
      </c>
      <c r="J50" s="20" t="n">
        <f aca="false">IF($A50&gt;PARAMETROS!$C$33,"",PARAMETROS!$C$9*(1+PARAMETROS!$C$17)^(B50-1))</f>
        <v>33687.54728952</v>
      </c>
      <c r="K50" s="20" t="n">
        <f aca="false">IF($A50&gt;PARAMETROS!$C$33,"",K49*(1+PARAMETROS!$C$36))</f>
        <v>30064.8204308594</v>
      </c>
      <c r="L50" s="20" t="n">
        <f aca="false">IF($A50&gt;PARAMETROS!$C$33,"",L49*(1+PARAMETROS!$C$37)*(1+M50))</f>
        <v>8646.82299480694</v>
      </c>
      <c r="M50" s="21" t="n">
        <f aca="false">IF($A50&gt;PARAMETROS!$C$33,"",IF(C50&lt;70,PARAMETROS!$C$40,IF(C50&lt;75,PARAMETROS!$C$41,IF(C50&lt;80,PARAMETROS!$C$42,IF(C50&lt;85,PARAMETROS!$C$43,IF(C50&lt;90,PARAMETROS!$C$44,PARAMETROS!$C$45))))))</f>
        <v>0.00246626977230369</v>
      </c>
      <c r="N50" s="20" t="n">
        <f aca="false">IF($A50&gt;PARAMETROS!$C$33,"",K50+L50)</f>
        <v>38711.6434256664</v>
      </c>
      <c r="O50" s="20" t="n">
        <f aca="false">IF($A50&gt;PARAMETROS!$C$33,"",I50+J50-N50)</f>
        <v>-630.253456493272</v>
      </c>
      <c r="P50" s="20" t="n">
        <f aca="false">IF($A50&gt;PARAMETROS!$C$33,"",MAX(E50+I50+J50-N50,0))</f>
        <v>1043661.87141801</v>
      </c>
      <c r="Q50" s="22" t="str">
        <f aca="false">IF($A50&gt;PARAMETROS!$C$33,"",IF(P50&lt;=0,"AGOTADO","OK"))</f>
        <v>OK</v>
      </c>
    </row>
    <row r="51" customFormat="false" ht="15" hidden="false" customHeight="false" outlineLevel="0" collapsed="false">
      <c r="A51" s="15" t="n">
        <f aca="false">A50+1</f>
        <v>49</v>
      </c>
      <c r="B51" s="15" t="n">
        <f aca="false">IF($A51="","",ROUNDUP($A51/12,0))</f>
        <v>5</v>
      </c>
      <c r="C51" s="15" t="n">
        <f aca="false">IF($A51="","",PARAMETROS!$C$6+INT(($A51-1)/12))</f>
        <v>69</v>
      </c>
      <c r="D51" s="15" t="n">
        <f aca="false">IF($A51="","",MOD($A51-1,12)+1)</f>
        <v>1</v>
      </c>
      <c r="E51" s="16" t="n">
        <f aca="false">IF($A51&gt;PARAMETROS!$C$33,"",P50)</f>
        <v>1043661.87141801</v>
      </c>
      <c r="F51" s="17" t="n">
        <f aca="false">IF($A51&gt;PARAMETROS!$C$33,"",PARAMETROS!$C$38)</f>
        <v>0.00495440818448101</v>
      </c>
      <c r="G51" s="16" t="n">
        <f aca="false">IF($A51&gt;PARAMETROS!$C$33,"",E51*F51)</f>
        <v>5170.72691758417</v>
      </c>
      <c r="H51" s="16" t="n">
        <f aca="false">IF($A51&gt;PARAMETROS!$C$33,"",E51*PARAMETROS!$C$39)</f>
        <v>779.536019429922</v>
      </c>
      <c r="I51" s="16" t="n">
        <f aca="false">IF($A51&gt;PARAMETROS!$C$33,"",G51-H51)</f>
        <v>4391.19089815425</v>
      </c>
      <c r="J51" s="16" t="n">
        <f aca="false">IF($A51&gt;PARAMETROS!$C$33,"",PARAMETROS!$C$9*(1+PARAMETROS!$C$17)^(B51-1))</f>
        <v>35014.8366527271</v>
      </c>
      <c r="K51" s="16" t="n">
        <f aca="false">IF($A51&gt;PARAMETROS!$C$33,"",K50*(1+PARAMETROS!$C$36))</f>
        <v>30167.8331495033</v>
      </c>
      <c r="L51" s="16" t="n">
        <f aca="false">IF($A51&gt;PARAMETROS!$C$33,"",L50*(1+PARAMETROS!$C$37)*(1+M51))</f>
        <v>8702.35752815973</v>
      </c>
      <c r="M51" s="17" t="n">
        <f aca="false">IF($A51&gt;PARAMETROS!$C$33,"",IF(C51&lt;70,PARAMETROS!$C$40,IF(C51&lt;75,PARAMETROS!$C$41,IF(C51&lt;80,PARAMETROS!$C$42,IF(C51&lt;85,PARAMETROS!$C$43,IF(C51&lt;90,PARAMETROS!$C$44,PARAMETROS!$C$45))))))</f>
        <v>0.00246626977230369</v>
      </c>
      <c r="N51" s="16" t="n">
        <f aca="false">IF($A51&gt;PARAMETROS!$C$33,"",K51+L51)</f>
        <v>38870.190677663</v>
      </c>
      <c r="O51" s="16" t="n">
        <f aca="false">IF($A51&gt;PARAMETROS!$C$33,"",I51+J51-N51)</f>
        <v>535.836873218337</v>
      </c>
      <c r="P51" s="16" t="n">
        <f aca="false">IF($A51&gt;PARAMETROS!$C$33,"",MAX(E51+I51+J51-N51,0))</f>
        <v>1044197.70829123</v>
      </c>
      <c r="Q51" s="18" t="str">
        <f aca="false">IF($A51&gt;PARAMETROS!$C$33,"",IF(P51&lt;=0,"AGOTADO","OK"))</f>
        <v>OK</v>
      </c>
    </row>
    <row r="52" customFormat="false" ht="15" hidden="false" customHeight="false" outlineLevel="0" collapsed="false">
      <c r="A52" s="15" t="n">
        <f aca="false">A51+1</f>
        <v>50</v>
      </c>
      <c r="B52" s="15" t="n">
        <f aca="false">IF($A52="","",ROUNDUP($A52/12,0))</f>
        <v>5</v>
      </c>
      <c r="C52" s="15" t="n">
        <f aca="false">IF($A52="","",PARAMETROS!$C$6+INT(($A52-1)/12))</f>
        <v>69</v>
      </c>
      <c r="D52" s="15" t="n">
        <f aca="false">IF($A52="","",MOD($A52-1,12)+1)</f>
        <v>2</v>
      </c>
      <c r="E52" s="16" t="n">
        <f aca="false">IF($A52&gt;PARAMETROS!$C$33,"",P51)</f>
        <v>1044197.70829123</v>
      </c>
      <c r="F52" s="17" t="n">
        <f aca="false">IF($A52&gt;PARAMETROS!$C$33,"",PARAMETROS!$C$38)</f>
        <v>0.00495440818448101</v>
      </c>
      <c r="G52" s="16" t="n">
        <f aca="false">IF($A52&gt;PARAMETROS!$C$33,"",E52*F52)</f>
        <v>5173.38167217439</v>
      </c>
      <c r="H52" s="16" t="n">
        <f aca="false">IF($A52&gt;PARAMETROS!$C$33,"",E52*PARAMETROS!$C$39)</f>
        <v>779.936248809429</v>
      </c>
      <c r="I52" s="16" t="n">
        <f aca="false">IF($A52&gt;PARAMETROS!$C$33,"",G52-H52)</f>
        <v>4393.44542336496</v>
      </c>
      <c r="J52" s="16" t="n">
        <f aca="false">IF($A52&gt;PARAMETROS!$C$33,"",PARAMETROS!$C$9*(1+PARAMETROS!$C$17)^(B52-1))</f>
        <v>35014.8366527271</v>
      </c>
      <c r="K52" s="16" t="n">
        <f aca="false">IF($A52&gt;PARAMETROS!$C$33,"",K51*(1+PARAMETROS!$C$36))</f>
        <v>30271.1988261908</v>
      </c>
      <c r="L52" s="16" t="n">
        <f aca="false">IF($A52&gt;PARAMETROS!$C$33,"",L51*(1+PARAMETROS!$C$37)*(1+M52))</f>
        <v>8758.2487340611</v>
      </c>
      <c r="M52" s="17" t="n">
        <f aca="false">IF($A52&gt;PARAMETROS!$C$33,"",IF(C52&lt;70,PARAMETROS!$C$40,IF(C52&lt;75,PARAMETROS!$C$41,IF(C52&lt;80,PARAMETROS!$C$42,IF(C52&lt;85,PARAMETROS!$C$43,IF(C52&lt;90,PARAMETROS!$C$44,PARAMETROS!$C$45))))))</f>
        <v>0.00246626977230369</v>
      </c>
      <c r="N52" s="16" t="n">
        <f aca="false">IF($A52&gt;PARAMETROS!$C$33,"",K52+L52)</f>
        <v>39029.4475602519</v>
      </c>
      <c r="O52" s="16" t="n">
        <f aca="false">IF($A52&gt;PARAMETROS!$C$33,"",I52+J52-N52)</f>
        <v>378.834515840164</v>
      </c>
      <c r="P52" s="16" t="n">
        <f aca="false">IF($A52&gt;PARAMETROS!$C$33,"",MAX(E52+I52+J52-N52,0))</f>
        <v>1044576.54280707</v>
      </c>
      <c r="Q52" s="18" t="str">
        <f aca="false">IF($A52&gt;PARAMETROS!$C$33,"",IF(P52&lt;=0,"AGOTADO","OK"))</f>
        <v>OK</v>
      </c>
    </row>
    <row r="53" customFormat="false" ht="15" hidden="false" customHeight="false" outlineLevel="0" collapsed="false">
      <c r="A53" s="15" t="n">
        <f aca="false">A52+1</f>
        <v>51</v>
      </c>
      <c r="B53" s="15" t="n">
        <f aca="false">IF($A53="","",ROUNDUP($A53/12,0))</f>
        <v>5</v>
      </c>
      <c r="C53" s="15" t="n">
        <f aca="false">IF($A53="","",PARAMETROS!$C$6+INT(($A53-1)/12))</f>
        <v>69</v>
      </c>
      <c r="D53" s="15" t="n">
        <f aca="false">IF($A53="","",MOD($A53-1,12)+1)</f>
        <v>3</v>
      </c>
      <c r="E53" s="16" t="n">
        <f aca="false">IF($A53&gt;PARAMETROS!$C$33,"",P52)</f>
        <v>1044576.54280707</v>
      </c>
      <c r="F53" s="17" t="n">
        <f aca="false">IF($A53&gt;PARAMETROS!$C$33,"",PARAMETROS!$C$38)</f>
        <v>0.00495440818448101</v>
      </c>
      <c r="G53" s="16" t="n">
        <f aca="false">IF($A53&gt;PARAMETROS!$C$33,"",E53*F53)</f>
        <v>5175.25857300023</v>
      </c>
      <c r="H53" s="16" t="n">
        <f aca="false">IF($A53&gt;PARAMETROS!$C$33,"",E53*PARAMETROS!$C$39)</f>
        <v>780.219209372221</v>
      </c>
      <c r="I53" s="16" t="n">
        <f aca="false">IF($A53&gt;PARAMETROS!$C$33,"",G53-H53)</f>
        <v>4395.03936362801</v>
      </c>
      <c r="J53" s="16" t="n">
        <f aca="false">IF($A53&gt;PARAMETROS!$C$33,"",PARAMETROS!$C$9*(1+PARAMETROS!$C$17)^(B53-1))</f>
        <v>35014.8366527271</v>
      </c>
      <c r="K53" s="16" t="n">
        <f aca="false">IF($A53&gt;PARAMETROS!$C$33,"",K52*(1+PARAMETROS!$C$36))</f>
        <v>30374.9186702812</v>
      </c>
      <c r="L53" s="16" t="n">
        <f aca="false">IF($A53&gt;PARAMETROS!$C$33,"",L52*(1+PARAMETROS!$C$37)*(1+M53))</f>
        <v>8814.4989032534</v>
      </c>
      <c r="M53" s="17" t="n">
        <f aca="false">IF($A53&gt;PARAMETROS!$C$33,"",IF(C53&lt;70,PARAMETROS!$C$40,IF(C53&lt;75,PARAMETROS!$C$41,IF(C53&lt;80,PARAMETROS!$C$42,IF(C53&lt;85,PARAMETROS!$C$43,IF(C53&lt;90,PARAMETROS!$C$44,PARAMETROS!$C$45))))))</f>
        <v>0.00246626977230369</v>
      </c>
      <c r="N53" s="16" t="n">
        <f aca="false">IF($A53&gt;PARAMETROS!$C$33,"",K53+L53)</f>
        <v>39189.4175735346</v>
      </c>
      <c r="O53" s="16" t="n">
        <f aca="false">IF($A53&gt;PARAMETROS!$C$33,"",I53+J53-N53)</f>
        <v>220.458442820527</v>
      </c>
      <c r="P53" s="16" t="n">
        <f aca="false">IF($A53&gt;PARAMETROS!$C$33,"",MAX(E53+I53+J53-N53,0))</f>
        <v>1044797.00124989</v>
      </c>
      <c r="Q53" s="18" t="str">
        <f aca="false">IF($A53&gt;PARAMETROS!$C$33,"",IF(P53&lt;=0,"AGOTADO","OK"))</f>
        <v>OK</v>
      </c>
    </row>
    <row r="54" customFormat="false" ht="15" hidden="false" customHeight="false" outlineLevel="0" collapsed="false">
      <c r="A54" s="15" t="n">
        <f aca="false">A53+1</f>
        <v>52</v>
      </c>
      <c r="B54" s="15" t="n">
        <f aca="false">IF($A54="","",ROUNDUP($A54/12,0))</f>
        <v>5</v>
      </c>
      <c r="C54" s="15" t="n">
        <f aca="false">IF($A54="","",PARAMETROS!$C$6+INT(($A54-1)/12))</f>
        <v>69</v>
      </c>
      <c r="D54" s="15" t="n">
        <f aca="false">IF($A54="","",MOD($A54-1,12)+1)</f>
        <v>4</v>
      </c>
      <c r="E54" s="16" t="n">
        <f aca="false">IF($A54&gt;PARAMETROS!$C$33,"",P53)</f>
        <v>1044797.00124989</v>
      </c>
      <c r="F54" s="17" t="n">
        <f aca="false">IF($A54&gt;PARAMETROS!$C$33,"",PARAMETROS!$C$38)</f>
        <v>0.00495440818448101</v>
      </c>
      <c r="G54" s="16" t="n">
        <f aca="false">IF($A54&gt;PARAMETROS!$C$33,"",E54*F54)</f>
        <v>5176.35081411368</v>
      </c>
      <c r="H54" s="16" t="n">
        <f aca="false">IF($A54&gt;PARAMETROS!$C$33,"",E54*PARAMETROS!$C$39)</f>
        <v>780.383875057221</v>
      </c>
      <c r="I54" s="16" t="n">
        <f aca="false">IF($A54&gt;PARAMETROS!$C$33,"",G54-H54)</f>
        <v>4395.96693905646</v>
      </c>
      <c r="J54" s="16" t="n">
        <f aca="false">IF($A54&gt;PARAMETROS!$C$33,"",PARAMETROS!$C$9*(1+PARAMETROS!$C$17)^(B54-1))</f>
        <v>35014.8366527271</v>
      </c>
      <c r="K54" s="16" t="n">
        <f aca="false">IF($A54&gt;PARAMETROS!$C$33,"",K53*(1+PARAMETROS!$C$36))</f>
        <v>30478.9938952774</v>
      </c>
      <c r="L54" s="16" t="n">
        <f aca="false">IF($A54&gt;PARAMETROS!$C$33,"",L53*(1+PARAMETROS!$C$37)*(1+M54))</f>
        <v>8871.11034119134</v>
      </c>
      <c r="M54" s="17" t="n">
        <f aca="false">IF($A54&gt;PARAMETROS!$C$33,"",IF(C54&lt;70,PARAMETROS!$C$40,IF(C54&lt;75,PARAMETROS!$C$41,IF(C54&lt;80,PARAMETROS!$C$42,IF(C54&lt;85,PARAMETROS!$C$43,IF(C54&lt;90,PARAMETROS!$C$44,PARAMETROS!$C$45))))))</f>
        <v>0.00246626977230369</v>
      </c>
      <c r="N54" s="16" t="n">
        <f aca="false">IF($A54&gt;PARAMETROS!$C$33,"",K54+L54)</f>
        <v>39350.1042364687</v>
      </c>
      <c r="O54" s="16" t="n">
        <f aca="false">IF($A54&gt;PARAMETROS!$C$33,"",I54+J54-N54)</f>
        <v>60.6993553148714</v>
      </c>
      <c r="P54" s="16" t="n">
        <f aca="false">IF($A54&gt;PARAMETROS!$C$33,"",MAX(E54+I54+J54-N54,0))</f>
        <v>1044857.70060521</v>
      </c>
      <c r="Q54" s="18" t="str">
        <f aca="false">IF($A54&gt;PARAMETROS!$C$33,"",IF(P54&lt;=0,"AGOTADO","OK"))</f>
        <v>OK</v>
      </c>
    </row>
    <row r="55" customFormat="false" ht="15" hidden="false" customHeight="false" outlineLevel="0" collapsed="false">
      <c r="A55" s="15" t="n">
        <f aca="false">A54+1</f>
        <v>53</v>
      </c>
      <c r="B55" s="15" t="n">
        <f aca="false">IF($A55="","",ROUNDUP($A55/12,0))</f>
        <v>5</v>
      </c>
      <c r="C55" s="15" t="n">
        <f aca="false">IF($A55="","",PARAMETROS!$C$6+INT(($A55-1)/12))</f>
        <v>69</v>
      </c>
      <c r="D55" s="15" t="n">
        <f aca="false">IF($A55="","",MOD($A55-1,12)+1)</f>
        <v>5</v>
      </c>
      <c r="E55" s="16" t="n">
        <f aca="false">IF($A55&gt;PARAMETROS!$C$33,"",P54)</f>
        <v>1044857.70060521</v>
      </c>
      <c r="F55" s="17" t="n">
        <f aca="false">IF($A55&gt;PARAMETROS!$C$33,"",PARAMETROS!$C$38)</f>
        <v>0.00495440818448101</v>
      </c>
      <c r="G55" s="16" t="n">
        <f aca="false">IF($A55&gt;PARAMETROS!$C$33,"",E55*F55)</f>
        <v>5176.65154349644</v>
      </c>
      <c r="H55" s="16" t="n">
        <f aca="false">IF($A55&gt;PARAMETROS!$C$33,"",E55*PARAMETROS!$C$39)</f>
        <v>780.429212857825</v>
      </c>
      <c r="I55" s="16" t="n">
        <f aca="false">IF($A55&gt;PARAMETROS!$C$33,"",G55-H55)</f>
        <v>4396.22233063862</v>
      </c>
      <c r="J55" s="16" t="n">
        <f aca="false">IF($A55&gt;PARAMETROS!$C$33,"",PARAMETROS!$C$9*(1+PARAMETROS!$C$17)^(B55-1))</f>
        <v>35014.8366527271</v>
      </c>
      <c r="K55" s="16" t="n">
        <f aca="false">IF($A55&gt;PARAMETROS!$C$33,"",K54*(1+PARAMETROS!$C$36))</f>
        <v>30583.4257188401</v>
      </c>
      <c r="L55" s="16" t="n">
        <f aca="false">IF($A55&gt;PARAMETROS!$C$33,"",L54*(1+PARAMETROS!$C$37)*(1+M55))</f>
        <v>8928.0853681365</v>
      </c>
      <c r="M55" s="17" t="n">
        <f aca="false">IF($A55&gt;PARAMETROS!$C$33,"",IF(C55&lt;70,PARAMETROS!$C$40,IF(C55&lt;75,PARAMETROS!$C$41,IF(C55&lt;80,PARAMETROS!$C$42,IF(C55&lt;85,PARAMETROS!$C$43,IF(C55&lt;90,PARAMETROS!$C$44,PARAMETROS!$C$45))))))</f>
        <v>0.00246626977230369</v>
      </c>
      <c r="N55" s="16" t="n">
        <f aca="false">IF($A55&gt;PARAMETROS!$C$33,"",K55+L55)</f>
        <v>39511.5110869766</v>
      </c>
      <c r="O55" s="16" t="n">
        <f aca="false">IF($A55&gt;PARAMETROS!$C$33,"",I55+J55-N55)</f>
        <v>-100.4521036109</v>
      </c>
      <c r="P55" s="16" t="n">
        <f aca="false">IF($A55&gt;PARAMETROS!$C$33,"",MAX(E55+I55+J55-N55,0))</f>
        <v>1044757.2485016</v>
      </c>
      <c r="Q55" s="18" t="str">
        <f aca="false">IF($A55&gt;PARAMETROS!$C$33,"",IF(P55&lt;=0,"AGOTADO","OK"))</f>
        <v>OK</v>
      </c>
    </row>
    <row r="56" customFormat="false" ht="15" hidden="false" customHeight="false" outlineLevel="0" collapsed="false">
      <c r="A56" s="15" t="n">
        <f aca="false">A55+1</f>
        <v>54</v>
      </c>
      <c r="B56" s="15" t="n">
        <f aca="false">IF($A56="","",ROUNDUP($A56/12,0))</f>
        <v>5</v>
      </c>
      <c r="C56" s="15" t="n">
        <f aca="false">IF($A56="","",PARAMETROS!$C$6+INT(($A56-1)/12))</f>
        <v>69</v>
      </c>
      <c r="D56" s="15" t="n">
        <f aca="false">IF($A56="","",MOD($A56-1,12)+1)</f>
        <v>6</v>
      </c>
      <c r="E56" s="16" t="n">
        <f aca="false">IF($A56&gt;PARAMETROS!$C$33,"",P55)</f>
        <v>1044757.2485016</v>
      </c>
      <c r="F56" s="17" t="n">
        <f aca="false">IF($A56&gt;PARAMETROS!$C$33,"",PARAMETROS!$C$38)</f>
        <v>0.00495440818448101</v>
      </c>
      <c r="G56" s="16" t="n">
        <f aca="false">IF($A56&gt;PARAMETROS!$C$33,"",E56*F56)</f>
        <v>5176.15386277217</v>
      </c>
      <c r="H56" s="16" t="n">
        <f aca="false">IF($A56&gt;PARAMETROS!$C$33,"",E56*PARAMETROS!$C$39)</f>
        <v>780.354182778508</v>
      </c>
      <c r="I56" s="16" t="n">
        <f aca="false">IF($A56&gt;PARAMETROS!$C$33,"",G56-H56)</f>
        <v>4395.79967999366</v>
      </c>
      <c r="J56" s="16" t="n">
        <f aca="false">IF($A56&gt;PARAMETROS!$C$33,"",PARAMETROS!$C$9*(1+PARAMETROS!$C$17)^(B56-1))</f>
        <v>35014.8366527271</v>
      </c>
      <c r="K56" s="16" t="n">
        <f aca="false">IF($A56&gt;PARAMETROS!$C$33,"",K55*(1+PARAMETROS!$C$36))</f>
        <v>30688.2153628024</v>
      </c>
      <c r="L56" s="16" t="n">
        <f aca="false">IF($A56&gt;PARAMETROS!$C$33,"",L55*(1+PARAMETROS!$C$37)*(1+M56))</f>
        <v>8985.42631925243</v>
      </c>
      <c r="M56" s="17" t="n">
        <f aca="false">IF($A56&gt;PARAMETROS!$C$33,"",IF(C56&lt;70,PARAMETROS!$C$40,IF(C56&lt;75,PARAMETROS!$C$41,IF(C56&lt;80,PARAMETROS!$C$42,IF(C56&lt;85,PARAMETROS!$C$43,IF(C56&lt;90,PARAMETROS!$C$44,PARAMETROS!$C$45))))))</f>
        <v>0.00246626977230369</v>
      </c>
      <c r="N56" s="16" t="n">
        <f aca="false">IF($A56&gt;PARAMETROS!$C$33,"",K56+L56)</f>
        <v>39673.6416820548</v>
      </c>
      <c r="O56" s="16" t="n">
        <f aca="false">IF($A56&gt;PARAMETROS!$C$33,"",I56+J56-N56)</f>
        <v>-263.005349334075</v>
      </c>
      <c r="P56" s="16" t="n">
        <f aca="false">IF($A56&gt;PARAMETROS!$C$33,"",MAX(E56+I56+J56-N56,0))</f>
        <v>1044494.24315226</v>
      </c>
      <c r="Q56" s="18" t="str">
        <f aca="false">IF($A56&gt;PARAMETROS!$C$33,"",IF(P56&lt;=0,"AGOTADO","OK"))</f>
        <v>OK</v>
      </c>
    </row>
    <row r="57" customFormat="false" ht="15" hidden="false" customHeight="false" outlineLevel="0" collapsed="false">
      <c r="A57" s="15" t="n">
        <f aca="false">A56+1</f>
        <v>55</v>
      </c>
      <c r="B57" s="15" t="n">
        <f aca="false">IF($A57="","",ROUNDUP($A57/12,0))</f>
        <v>5</v>
      </c>
      <c r="C57" s="15" t="n">
        <f aca="false">IF($A57="","",PARAMETROS!$C$6+INT(($A57-1)/12))</f>
        <v>69</v>
      </c>
      <c r="D57" s="15" t="n">
        <f aca="false">IF($A57="","",MOD($A57-1,12)+1)</f>
        <v>7</v>
      </c>
      <c r="E57" s="16" t="n">
        <f aca="false">IF($A57&gt;PARAMETROS!$C$33,"",P56)</f>
        <v>1044494.24315226</v>
      </c>
      <c r="F57" s="17" t="n">
        <f aca="false">IF($A57&gt;PARAMETROS!$C$33,"",PARAMETROS!$C$38)</f>
        <v>0.00495440818448101</v>
      </c>
      <c r="G57" s="16" t="n">
        <f aca="false">IF($A57&gt;PARAMETROS!$C$33,"",E57*F57)</f>
        <v>5174.85082691686</v>
      </c>
      <c r="H57" s="16" t="n">
        <f aca="false">IF($A57&gt;PARAMETROS!$C$33,"",E57*PARAMETROS!$C$39)</f>
        <v>780.157737791177</v>
      </c>
      <c r="I57" s="16" t="n">
        <f aca="false">IF($A57&gt;PARAMETROS!$C$33,"",G57-H57)</f>
        <v>4394.69308912568</v>
      </c>
      <c r="J57" s="16" t="n">
        <f aca="false">IF($A57&gt;PARAMETROS!$C$33,"",PARAMETROS!$C$9*(1+PARAMETROS!$C$17)^(B57-1))</f>
        <v>35014.8366527271</v>
      </c>
      <c r="K57" s="16" t="n">
        <f aca="false">IF($A57&gt;PARAMETROS!$C$33,"",K56*(1+PARAMETROS!$C$36))</f>
        <v>30793.3640531836</v>
      </c>
      <c r="L57" s="16" t="n">
        <f aca="false">IF($A57&gt;PARAMETROS!$C$33,"",L56*(1+PARAMETROS!$C$37)*(1+M57))</f>
        <v>9043.13554470035</v>
      </c>
      <c r="M57" s="17" t="n">
        <f aca="false">IF($A57&gt;PARAMETROS!$C$33,"",IF(C57&lt;70,PARAMETROS!$C$40,IF(C57&lt;75,PARAMETROS!$C$41,IF(C57&lt;80,PARAMETROS!$C$42,IF(C57&lt;85,PARAMETROS!$C$43,IF(C57&lt;90,PARAMETROS!$C$44,PARAMETROS!$C$45))))))</f>
        <v>0.00246626977230369</v>
      </c>
      <c r="N57" s="16" t="n">
        <f aca="false">IF($A57&gt;PARAMETROS!$C$33,"",K57+L57)</f>
        <v>39836.4995978839</v>
      </c>
      <c r="O57" s="16" t="n">
        <f aca="false">IF($A57&gt;PARAMETROS!$C$33,"",I57+J57-N57)</f>
        <v>-426.969856031137</v>
      </c>
      <c r="P57" s="16" t="n">
        <f aca="false">IF($A57&gt;PARAMETROS!$C$33,"",MAX(E57+I57+J57-N57,0))</f>
        <v>1044067.27329623</v>
      </c>
      <c r="Q57" s="18" t="str">
        <f aca="false">IF($A57&gt;PARAMETROS!$C$33,"",IF(P57&lt;=0,"AGOTADO","OK"))</f>
        <v>OK</v>
      </c>
    </row>
    <row r="58" customFormat="false" ht="15" hidden="false" customHeight="false" outlineLevel="0" collapsed="false">
      <c r="A58" s="15" t="n">
        <f aca="false">A57+1</f>
        <v>56</v>
      </c>
      <c r="B58" s="15" t="n">
        <f aca="false">IF($A58="","",ROUNDUP($A58/12,0))</f>
        <v>5</v>
      </c>
      <c r="C58" s="15" t="n">
        <f aca="false">IF($A58="","",PARAMETROS!$C$6+INT(($A58-1)/12))</f>
        <v>69</v>
      </c>
      <c r="D58" s="15" t="n">
        <f aca="false">IF($A58="","",MOD($A58-1,12)+1)</f>
        <v>8</v>
      </c>
      <c r="E58" s="16" t="n">
        <f aca="false">IF($A58&gt;PARAMETROS!$C$33,"",P57)</f>
        <v>1044067.27329623</v>
      </c>
      <c r="F58" s="17" t="n">
        <f aca="false">IF($A58&gt;PARAMETROS!$C$33,"",PARAMETROS!$C$38)</f>
        <v>0.00495440818448101</v>
      </c>
      <c r="G58" s="16" t="n">
        <f aca="false">IF($A58&gt;PARAMETROS!$C$33,"",E58*F58)</f>
        <v>5172.73544396762</v>
      </c>
      <c r="H58" s="16" t="n">
        <f aca="false">IF($A58&gt;PARAMETROS!$C$33,"",E58*PARAMETROS!$C$39)</f>
        <v>779.838823791248</v>
      </c>
      <c r="I58" s="16" t="n">
        <f aca="false">IF($A58&gt;PARAMETROS!$C$33,"",G58-H58)</f>
        <v>4392.89662017637</v>
      </c>
      <c r="J58" s="16" t="n">
        <f aca="false">IF($A58&gt;PARAMETROS!$C$33,"",PARAMETROS!$C$9*(1+PARAMETROS!$C$17)^(B58-1))</f>
        <v>35014.8366527271</v>
      </c>
      <c r="K58" s="16" t="n">
        <f aca="false">IF($A58&gt;PARAMETROS!$C$33,"",K57*(1+PARAMETROS!$C$36))</f>
        <v>30898.8730202038</v>
      </c>
      <c r="L58" s="16" t="n">
        <f aca="false">IF($A58&gt;PARAMETROS!$C$33,"",L57*(1+PARAMETROS!$C$37)*(1+M58))</f>
        <v>9101.21540973547</v>
      </c>
      <c r="M58" s="17" t="n">
        <f aca="false">IF($A58&gt;PARAMETROS!$C$33,"",IF(C58&lt;70,PARAMETROS!$C$40,IF(C58&lt;75,PARAMETROS!$C$41,IF(C58&lt;80,PARAMETROS!$C$42,IF(C58&lt;85,PARAMETROS!$C$43,IF(C58&lt;90,PARAMETROS!$C$44,PARAMETROS!$C$45))))))</f>
        <v>0.00246626977230369</v>
      </c>
      <c r="N58" s="16" t="n">
        <f aca="false">IF($A58&gt;PARAMETROS!$C$33,"",K58+L58)</f>
        <v>40000.0884299393</v>
      </c>
      <c r="O58" s="16" t="n">
        <f aca="false">IF($A58&gt;PARAMETROS!$C$33,"",I58+J58-N58)</f>
        <v>-592.355157035781</v>
      </c>
      <c r="P58" s="16" t="n">
        <f aca="false">IF($A58&gt;PARAMETROS!$C$33,"",MAX(E58+I58+J58-N58,0))</f>
        <v>1043474.9181392</v>
      </c>
      <c r="Q58" s="18" t="str">
        <f aca="false">IF($A58&gt;PARAMETROS!$C$33,"",IF(P58&lt;=0,"AGOTADO","OK"))</f>
        <v>OK</v>
      </c>
    </row>
    <row r="59" customFormat="false" ht="15" hidden="false" customHeight="false" outlineLevel="0" collapsed="false">
      <c r="A59" s="15" t="n">
        <f aca="false">A58+1</f>
        <v>57</v>
      </c>
      <c r="B59" s="15" t="n">
        <f aca="false">IF($A59="","",ROUNDUP($A59/12,0))</f>
        <v>5</v>
      </c>
      <c r="C59" s="15" t="n">
        <f aca="false">IF($A59="","",PARAMETROS!$C$6+INT(($A59-1)/12))</f>
        <v>69</v>
      </c>
      <c r="D59" s="15" t="n">
        <f aca="false">IF($A59="","",MOD($A59-1,12)+1)</f>
        <v>9</v>
      </c>
      <c r="E59" s="16" t="n">
        <f aca="false">IF($A59&gt;PARAMETROS!$C$33,"",P58)</f>
        <v>1043474.9181392</v>
      </c>
      <c r="F59" s="17" t="n">
        <f aca="false">IF($A59&gt;PARAMETROS!$C$33,"",PARAMETROS!$C$38)</f>
        <v>0.00495440818448101</v>
      </c>
      <c r="G59" s="16" t="n">
        <f aca="false">IF($A59&gt;PARAMETROS!$C$33,"",E59*F59)</f>
        <v>5169.80067472948</v>
      </c>
      <c r="H59" s="16" t="n">
        <f aca="false">IF($A59&gt;PARAMETROS!$C$33,"",E59*PARAMETROS!$C$39)</f>
        <v>779.396379553464</v>
      </c>
      <c r="I59" s="16" t="n">
        <f aca="false">IF($A59&gt;PARAMETROS!$C$33,"",G59-H59)</f>
        <v>4390.40429517601</v>
      </c>
      <c r="J59" s="16" t="n">
        <f aca="false">IF($A59&gt;PARAMETROS!$C$33,"",PARAMETROS!$C$9*(1+PARAMETROS!$C$17)^(B59-1))</f>
        <v>35014.8366527271</v>
      </c>
      <c r="K59" s="16" t="n">
        <f aca="false">IF($A59&gt;PARAMETROS!$C$33,"",K58*(1+PARAMETROS!$C$36))</f>
        <v>31004.7434982983</v>
      </c>
      <c r="L59" s="16" t="n">
        <f aca="false">IF($A59&gt;PARAMETROS!$C$33,"",L58*(1+PARAMETROS!$C$37)*(1+M59))</f>
        <v>9159.66829480394</v>
      </c>
      <c r="M59" s="17" t="n">
        <f aca="false">IF($A59&gt;PARAMETROS!$C$33,"",IF(C59&lt;70,PARAMETROS!$C$40,IF(C59&lt;75,PARAMETROS!$C$41,IF(C59&lt;80,PARAMETROS!$C$42,IF(C59&lt;85,PARAMETROS!$C$43,IF(C59&lt;90,PARAMETROS!$C$44,PARAMETROS!$C$45))))))</f>
        <v>0.00246626977230369</v>
      </c>
      <c r="N59" s="16" t="n">
        <f aca="false">IF($A59&gt;PARAMETROS!$C$33,"",K59+L59)</f>
        <v>40164.4117931023</v>
      </c>
      <c r="O59" s="16" t="n">
        <f aca="false">IF($A59&gt;PARAMETROS!$C$33,"",I59+J59-N59)</f>
        <v>-759.170845199173</v>
      </c>
      <c r="P59" s="16" t="n">
        <f aca="false">IF($A59&gt;PARAMETROS!$C$33,"",MAX(E59+I59+J59-N59,0))</f>
        <v>1042715.747294</v>
      </c>
      <c r="Q59" s="18" t="str">
        <f aca="false">IF($A59&gt;PARAMETROS!$C$33,"",IF(P59&lt;=0,"AGOTADO","OK"))</f>
        <v>OK</v>
      </c>
    </row>
    <row r="60" customFormat="false" ht="15" hidden="false" customHeight="false" outlineLevel="0" collapsed="false">
      <c r="A60" s="15" t="n">
        <f aca="false">A59+1</f>
        <v>58</v>
      </c>
      <c r="B60" s="15" t="n">
        <f aca="false">IF($A60="","",ROUNDUP($A60/12,0))</f>
        <v>5</v>
      </c>
      <c r="C60" s="15" t="n">
        <f aca="false">IF($A60="","",PARAMETROS!$C$6+INT(($A60-1)/12))</f>
        <v>69</v>
      </c>
      <c r="D60" s="15" t="n">
        <f aca="false">IF($A60="","",MOD($A60-1,12)+1)</f>
        <v>10</v>
      </c>
      <c r="E60" s="16" t="n">
        <f aca="false">IF($A60&gt;PARAMETROS!$C$33,"",P59)</f>
        <v>1042715.747294</v>
      </c>
      <c r="F60" s="17" t="n">
        <f aca="false">IF($A60&gt;PARAMETROS!$C$33,"",PARAMETROS!$C$38)</f>
        <v>0.00495440818448101</v>
      </c>
      <c r="G60" s="16" t="n">
        <f aca="false">IF($A60&gt;PARAMETROS!$C$33,"",E60*F60)</f>
        <v>5166.0394324806</v>
      </c>
      <c r="H60" s="16" t="n">
        <f aca="false">IF($A60&gt;PARAMETROS!$C$33,"",E60*PARAMETROS!$C$39)</f>
        <v>778.829336687435</v>
      </c>
      <c r="I60" s="16" t="n">
        <f aca="false">IF($A60&gt;PARAMETROS!$C$33,"",G60-H60)</f>
        <v>4387.21009579317</v>
      </c>
      <c r="J60" s="16" t="n">
        <f aca="false">IF($A60&gt;PARAMETROS!$C$33,"",PARAMETROS!$C$9*(1+PARAMETROS!$C$17)^(B60-1))</f>
        <v>35014.8366527271</v>
      </c>
      <c r="K60" s="16" t="n">
        <f aca="false">IF($A60&gt;PARAMETROS!$C$33,"",K59*(1+PARAMETROS!$C$36))</f>
        <v>31110.9767261322</v>
      </c>
      <c r="L60" s="16" t="n">
        <f aca="false">IF($A60&gt;PARAMETROS!$C$33,"",L59*(1+PARAMETROS!$C$37)*(1+M60))</f>
        <v>9218.49659564042</v>
      </c>
      <c r="M60" s="17" t="n">
        <f aca="false">IF($A60&gt;PARAMETROS!$C$33,"",IF(C60&lt;70,PARAMETROS!$C$40,IF(C60&lt;75,PARAMETROS!$C$41,IF(C60&lt;80,PARAMETROS!$C$42,IF(C60&lt;85,PARAMETROS!$C$43,IF(C60&lt;90,PARAMETROS!$C$44,PARAMETROS!$C$45))))))</f>
        <v>0.00246626977230369</v>
      </c>
      <c r="N60" s="16" t="n">
        <f aca="false">IF($A60&gt;PARAMETROS!$C$33,"",K60+L60)</f>
        <v>40329.4733217726</v>
      </c>
      <c r="O60" s="16" t="n">
        <f aca="false">IF($A60&gt;PARAMETROS!$C$33,"",I60+J60-N60)</f>
        <v>-927.42657325232</v>
      </c>
      <c r="P60" s="16" t="n">
        <f aca="false">IF($A60&gt;PARAMETROS!$C$33,"",MAX(E60+I60+J60-N60,0))</f>
        <v>1041788.32072074</v>
      </c>
      <c r="Q60" s="18" t="str">
        <f aca="false">IF($A60&gt;PARAMETROS!$C$33,"",IF(P60&lt;=0,"AGOTADO","OK"))</f>
        <v>OK</v>
      </c>
    </row>
    <row r="61" customFormat="false" ht="15" hidden="false" customHeight="false" outlineLevel="0" collapsed="false">
      <c r="A61" s="15" t="n">
        <f aca="false">A60+1</f>
        <v>59</v>
      </c>
      <c r="B61" s="15" t="n">
        <f aca="false">IF($A61="","",ROUNDUP($A61/12,0))</f>
        <v>5</v>
      </c>
      <c r="C61" s="15" t="n">
        <f aca="false">IF($A61="","",PARAMETROS!$C$6+INT(($A61-1)/12))</f>
        <v>69</v>
      </c>
      <c r="D61" s="15" t="n">
        <f aca="false">IF($A61="","",MOD($A61-1,12)+1)</f>
        <v>11</v>
      </c>
      <c r="E61" s="16" t="n">
        <f aca="false">IF($A61&gt;PARAMETROS!$C$33,"",P60)</f>
        <v>1041788.32072074</v>
      </c>
      <c r="F61" s="17" t="n">
        <f aca="false">IF($A61&gt;PARAMETROS!$C$33,"",PARAMETROS!$C$38)</f>
        <v>0.00495440818448101</v>
      </c>
      <c r="G61" s="16" t="n">
        <f aca="false">IF($A61&gt;PARAMETROS!$C$33,"",E61*F61)</f>
        <v>5161.44458267558</v>
      </c>
      <c r="H61" s="16" t="n">
        <f aca="false">IF($A61&gt;PARAMETROS!$C$33,"",E61*PARAMETROS!$C$39)</f>
        <v>778.136619592918</v>
      </c>
      <c r="I61" s="16" t="n">
        <f aca="false">IF($A61&gt;PARAMETROS!$C$33,"",G61-H61)</f>
        <v>4383.30796308266</v>
      </c>
      <c r="J61" s="16" t="n">
        <f aca="false">IF($A61&gt;PARAMETROS!$C$33,"",PARAMETROS!$C$9*(1+PARAMETROS!$C$17)^(B61-1))</f>
        <v>35014.8366527271</v>
      </c>
      <c r="K61" s="16" t="n">
        <f aca="false">IF($A61&gt;PARAMETROS!$C$33,"",K60*(1+PARAMETROS!$C$36))</f>
        <v>31217.5739466143</v>
      </c>
      <c r="L61" s="16" t="n">
        <f aca="false">IF($A61&gt;PARAMETROS!$C$33,"",L60*(1+PARAMETROS!$C$37)*(1+M61))</f>
        <v>9277.70272336625</v>
      </c>
      <c r="M61" s="17" t="n">
        <f aca="false">IF($A61&gt;PARAMETROS!$C$33,"",IF(C61&lt;70,PARAMETROS!$C$40,IF(C61&lt;75,PARAMETROS!$C$41,IF(C61&lt;80,PARAMETROS!$C$42,IF(C61&lt;85,PARAMETROS!$C$43,IF(C61&lt;90,PARAMETROS!$C$44,PARAMETROS!$C$45))))))</f>
        <v>0.00246626977230369</v>
      </c>
      <c r="N61" s="16" t="n">
        <f aca="false">IF($A61&gt;PARAMETROS!$C$33,"",K61+L61)</f>
        <v>40495.2766699806</v>
      </c>
      <c r="O61" s="16" t="n">
        <f aca="false">IF($A61&gt;PARAMETROS!$C$33,"",I61+J61-N61)</f>
        <v>-1097.13205417081</v>
      </c>
      <c r="P61" s="16" t="n">
        <f aca="false">IF($A61&gt;PARAMETROS!$C$33,"",MAX(E61+I61+J61-N61,0))</f>
        <v>1040691.18866657</v>
      </c>
      <c r="Q61" s="18" t="str">
        <f aca="false">IF($A61&gt;PARAMETROS!$C$33,"",IF(P61&lt;=0,"AGOTADO","OK"))</f>
        <v>OK</v>
      </c>
    </row>
    <row r="62" customFormat="false" ht="15" hidden="false" customHeight="false" outlineLevel="0" collapsed="false">
      <c r="A62" s="15" t="n">
        <f aca="false">A61+1</f>
        <v>60</v>
      </c>
      <c r="B62" s="15" t="n">
        <f aca="false">IF($A62="","",ROUNDUP($A62/12,0))</f>
        <v>5</v>
      </c>
      <c r="C62" s="15" t="n">
        <f aca="false">IF($A62="","",PARAMETROS!$C$6+INT(($A62-1)/12))</f>
        <v>69</v>
      </c>
      <c r="D62" s="15" t="n">
        <f aca="false">IF($A62="","",MOD($A62-1,12)+1)</f>
        <v>12</v>
      </c>
      <c r="E62" s="16" t="n">
        <f aca="false">IF($A62&gt;PARAMETROS!$C$33,"",P61)</f>
        <v>1040691.18866657</v>
      </c>
      <c r="F62" s="17" t="n">
        <f aca="false">IF($A62&gt;PARAMETROS!$C$33,"",PARAMETROS!$C$38)</f>
        <v>0.00495440818448101</v>
      </c>
      <c r="G62" s="16" t="n">
        <f aca="false">IF($A62&gt;PARAMETROS!$C$33,"",E62*F62)</f>
        <v>5156.00894264694</v>
      </c>
      <c r="H62" s="16" t="n">
        <f aca="false">IF($A62&gt;PARAMETROS!$C$33,"",E62*PARAMETROS!$C$39)</f>
        <v>777.317145414816</v>
      </c>
      <c r="I62" s="16" t="n">
        <f aca="false">IF($A62&gt;PARAMETROS!$C$33,"",G62-H62)</f>
        <v>4378.69179723212</v>
      </c>
      <c r="J62" s="16" t="n">
        <f aca="false">IF($A62&gt;PARAMETROS!$C$33,"",PARAMETROS!$C$9*(1+PARAMETROS!$C$17)^(B62-1))</f>
        <v>35014.8366527271</v>
      </c>
      <c r="K62" s="16" t="n">
        <f aca="false">IF($A62&gt;PARAMETROS!$C$33,"",K61*(1+PARAMETROS!$C$36))</f>
        <v>31324.5364069124</v>
      </c>
      <c r="L62" s="16" t="n">
        <f aca="false">IF($A62&gt;PARAMETROS!$C$33,"",L61*(1+PARAMETROS!$C$37)*(1+M62))</f>
        <v>9337.28910458828</v>
      </c>
      <c r="M62" s="17" t="n">
        <f aca="false">IF($A62&gt;PARAMETROS!$C$33,"",IF(C62&lt;70,PARAMETROS!$C$40,IF(C62&lt;75,PARAMETROS!$C$41,IF(C62&lt;80,PARAMETROS!$C$42,IF(C62&lt;85,PARAMETROS!$C$43,IF(C62&lt;90,PARAMETROS!$C$44,PARAMETROS!$C$45))))))</f>
        <v>0.00246626977230369</v>
      </c>
      <c r="N62" s="16" t="n">
        <f aca="false">IF($A62&gt;PARAMETROS!$C$33,"",K62+L62)</f>
        <v>40661.8255115007</v>
      </c>
      <c r="O62" s="16" t="n">
        <f aca="false">IF($A62&gt;PARAMETROS!$C$33,"",I62+J62-N62)</f>
        <v>-1268.2970615415</v>
      </c>
      <c r="P62" s="16" t="n">
        <f aca="false">IF($A62&gt;PARAMETROS!$C$33,"",MAX(E62+I62+J62-N62,0))</f>
        <v>1039422.89160503</v>
      </c>
      <c r="Q62" s="18" t="str">
        <f aca="false">IF($A62&gt;PARAMETROS!$C$33,"",IF(P62&lt;=0,"AGOTADO","OK"))</f>
        <v>OK</v>
      </c>
    </row>
    <row r="63" customFormat="false" ht="15" hidden="false" customHeight="false" outlineLevel="0" collapsed="false">
      <c r="A63" s="19" t="n">
        <f aca="false">A62+1</f>
        <v>61</v>
      </c>
      <c r="B63" s="19" t="n">
        <f aca="false">IF($A63="","",ROUNDUP($A63/12,0))</f>
        <v>6</v>
      </c>
      <c r="C63" s="19" t="n">
        <f aca="false">IF($A63="","",PARAMETROS!$C$6+INT(($A63-1)/12))</f>
        <v>70</v>
      </c>
      <c r="D63" s="19" t="n">
        <f aca="false">IF($A63="","",MOD($A63-1,12)+1)</f>
        <v>1</v>
      </c>
      <c r="E63" s="20" t="n">
        <f aca="false">IF($A63&gt;PARAMETROS!$C$33,"",P62)</f>
        <v>1039422.89160503</v>
      </c>
      <c r="F63" s="21" t="n">
        <f aca="false">IF($A63&gt;PARAMETROS!$C$33,"",PARAMETROS!$C$38)</f>
        <v>0.00495440818448101</v>
      </c>
      <c r="G63" s="20" t="n">
        <f aca="false">IF($A63&gt;PARAMETROS!$C$33,"",E63*F63)</f>
        <v>5149.72528130488</v>
      </c>
      <c r="H63" s="20" t="n">
        <f aca="false">IF($A63&gt;PARAMETROS!$C$33,"",E63*PARAMETROS!$C$39)</f>
        <v>776.369823997904</v>
      </c>
      <c r="I63" s="20" t="n">
        <f aca="false">IF($A63&gt;PARAMETROS!$C$33,"",G63-H63)</f>
        <v>4373.35545730698</v>
      </c>
      <c r="J63" s="20" t="n">
        <f aca="false">IF($A63&gt;PARAMETROS!$C$33,"",PARAMETROS!$C$9*(1+PARAMETROS!$C$17)^(B63-1))</f>
        <v>36394.4212168446</v>
      </c>
      <c r="K63" s="20" t="n">
        <f aca="false">IF($A63&gt;PARAMETROS!$C$33,"",K62*(1+PARAMETROS!$C$36))</f>
        <v>31431.8653584675</v>
      </c>
      <c r="L63" s="20" t="n">
        <f aca="false">IF($A63&gt;PARAMETROS!$C$33,"",L62*(1+PARAMETROS!$C$37)*(1+M63))</f>
        <v>9393.44821734156</v>
      </c>
      <c r="M63" s="21" t="n">
        <f aca="false">IF($A63&gt;PARAMETROS!$C$33,"",IF(C63&lt;70,PARAMETROS!$C$40,IF(C63&lt;75,PARAMETROS!$C$41,IF(C63&lt;80,PARAMETROS!$C$42,IF(C63&lt;85,PARAMETROS!$C$43,IF(C63&lt;90,PARAMETROS!$C$44,PARAMETROS!$C$45))))))</f>
        <v>0.00205983626984274</v>
      </c>
      <c r="N63" s="20" t="n">
        <f aca="false">IF($A63&gt;PARAMETROS!$C$33,"",K63+L63)</f>
        <v>40825.313575809</v>
      </c>
      <c r="O63" s="20" t="n">
        <f aca="false">IF($A63&gt;PARAMETROS!$C$33,"",I63+J63-N63)</f>
        <v>-57.5369016574914</v>
      </c>
      <c r="P63" s="20" t="n">
        <f aca="false">IF($A63&gt;PARAMETROS!$C$33,"",MAX(E63+I63+J63-N63,0))</f>
        <v>1039365.35470337</v>
      </c>
      <c r="Q63" s="22" t="str">
        <f aca="false">IF($A63&gt;PARAMETROS!$C$33,"",IF(P63&lt;=0,"AGOTADO","OK"))</f>
        <v>OK</v>
      </c>
    </row>
    <row r="64" customFormat="false" ht="15" hidden="false" customHeight="false" outlineLevel="0" collapsed="false">
      <c r="A64" s="19" t="n">
        <f aca="false">A63+1</f>
        <v>62</v>
      </c>
      <c r="B64" s="19" t="n">
        <f aca="false">IF($A64="","",ROUNDUP($A64/12,0))</f>
        <v>6</v>
      </c>
      <c r="C64" s="19" t="n">
        <f aca="false">IF($A64="","",PARAMETROS!$C$6+INT(($A64-1)/12))</f>
        <v>70</v>
      </c>
      <c r="D64" s="19" t="n">
        <f aca="false">IF($A64="","",MOD($A64-1,12)+1)</f>
        <v>2</v>
      </c>
      <c r="E64" s="20" t="n">
        <f aca="false">IF($A64&gt;PARAMETROS!$C$33,"",P63)</f>
        <v>1039365.35470337</v>
      </c>
      <c r="F64" s="21" t="n">
        <f aca="false">IF($A64&gt;PARAMETROS!$C$33,"",PARAMETROS!$C$38)</f>
        <v>0.00495440818448101</v>
      </c>
      <c r="G64" s="20" t="n">
        <f aca="false">IF($A64&gt;PARAMETROS!$C$33,"",E64*F64)</f>
        <v>5149.4402200084</v>
      </c>
      <c r="H64" s="20" t="n">
        <f aca="false">IF($A64&gt;PARAMETROS!$C$33,"",E64*PARAMETROS!$C$39)</f>
        <v>776.326848309592</v>
      </c>
      <c r="I64" s="20" t="n">
        <f aca="false">IF($A64&gt;PARAMETROS!$C$33,"",G64-H64)</f>
        <v>4373.11337169881</v>
      </c>
      <c r="J64" s="20" t="n">
        <f aca="false">IF($A64&gt;PARAMETROS!$C$33,"",PARAMETROS!$C$9*(1+PARAMETROS!$C$17)^(B64-1))</f>
        <v>36394.4212168446</v>
      </c>
      <c r="K64" s="20" t="n">
        <f aca="false">IF($A64&gt;PARAMETROS!$C$33,"",K63*(1+PARAMETROS!$C$36))</f>
        <v>31539.5620570082</v>
      </c>
      <c r="L64" s="20" t="n">
        <f aca="false">IF($A64&gt;PARAMETROS!$C$33,"",L63*(1+PARAMETROS!$C$37)*(1+M64))</f>
        <v>9449.94509900291</v>
      </c>
      <c r="M64" s="21" t="n">
        <f aca="false">IF($A64&gt;PARAMETROS!$C$33,"",IF(C64&lt;70,PARAMETROS!$C$40,IF(C64&lt;75,PARAMETROS!$C$41,IF(C64&lt;80,PARAMETROS!$C$42,IF(C64&lt;85,PARAMETROS!$C$43,IF(C64&lt;90,PARAMETROS!$C$44,PARAMETROS!$C$45))))))</f>
        <v>0.00205983626984274</v>
      </c>
      <c r="N64" s="20" t="n">
        <f aca="false">IF($A64&gt;PARAMETROS!$C$33,"",K64+L64)</f>
        <v>40989.5071560111</v>
      </c>
      <c r="O64" s="20" t="n">
        <f aca="false">IF($A64&gt;PARAMETROS!$C$33,"",I64+J64-N64)</f>
        <v>-221.972567467725</v>
      </c>
      <c r="P64" s="20" t="n">
        <f aca="false">IF($A64&gt;PARAMETROS!$C$33,"",MAX(E64+I64+J64-N64,0))</f>
        <v>1039143.38213591</v>
      </c>
      <c r="Q64" s="22" t="str">
        <f aca="false">IF($A64&gt;PARAMETROS!$C$33,"",IF(P64&lt;=0,"AGOTADO","OK"))</f>
        <v>OK</v>
      </c>
    </row>
    <row r="65" customFormat="false" ht="15" hidden="false" customHeight="false" outlineLevel="0" collapsed="false">
      <c r="A65" s="19" t="n">
        <f aca="false">A64+1</f>
        <v>63</v>
      </c>
      <c r="B65" s="19" t="n">
        <f aca="false">IF($A65="","",ROUNDUP($A65/12,0))</f>
        <v>6</v>
      </c>
      <c r="C65" s="19" t="n">
        <f aca="false">IF($A65="","",PARAMETROS!$C$6+INT(($A65-1)/12))</f>
        <v>70</v>
      </c>
      <c r="D65" s="19" t="n">
        <f aca="false">IF($A65="","",MOD($A65-1,12)+1)</f>
        <v>3</v>
      </c>
      <c r="E65" s="20" t="n">
        <f aca="false">IF($A65&gt;PARAMETROS!$C$33,"",P64)</f>
        <v>1039143.38213591</v>
      </c>
      <c r="F65" s="21" t="n">
        <f aca="false">IF($A65&gt;PARAMETROS!$C$33,"",PARAMETROS!$C$38)</f>
        <v>0.00495440818448101</v>
      </c>
      <c r="G65" s="20" t="n">
        <f aca="false">IF($A65&gt;PARAMETROS!$C$33,"",E65*F65)</f>
        <v>5148.34047730341</v>
      </c>
      <c r="H65" s="20" t="n">
        <f aca="false">IF($A65&gt;PARAMETROS!$C$33,"",E65*PARAMETROS!$C$39)</f>
        <v>776.16105168867</v>
      </c>
      <c r="I65" s="20" t="n">
        <f aca="false">IF($A65&gt;PARAMETROS!$C$33,"",G65-H65)</f>
        <v>4372.17942561474</v>
      </c>
      <c r="J65" s="20" t="n">
        <f aca="false">IF($A65&gt;PARAMETROS!$C$33,"",PARAMETROS!$C$9*(1+PARAMETROS!$C$17)^(B65-1))</f>
        <v>36394.4212168446</v>
      </c>
      <c r="K65" s="20" t="n">
        <f aca="false">IF($A65&gt;PARAMETROS!$C$33,"",K64*(1+PARAMETROS!$C$36))</f>
        <v>31647.627762566</v>
      </c>
      <c r="L65" s="20" t="n">
        <f aca="false">IF($A65&gt;PARAMETROS!$C$33,"",L64*(1+PARAMETROS!$C$37)*(1+M65))</f>
        <v>9506.78178108297</v>
      </c>
      <c r="M65" s="21" t="n">
        <f aca="false">IF($A65&gt;PARAMETROS!$C$33,"",IF(C65&lt;70,PARAMETROS!$C$40,IF(C65&lt;75,PARAMETROS!$C$41,IF(C65&lt;80,PARAMETROS!$C$42,IF(C65&lt;85,PARAMETROS!$C$43,IF(C65&lt;90,PARAMETROS!$C$44,PARAMETROS!$C$45))))))</f>
        <v>0.00205983626984274</v>
      </c>
      <c r="N65" s="20" t="n">
        <f aca="false">IF($A65&gt;PARAMETROS!$C$33,"",K65+L65)</f>
        <v>41154.4095436489</v>
      </c>
      <c r="O65" s="20" t="n">
        <f aca="false">IF($A65&gt;PARAMETROS!$C$33,"",I65+J65-N65)</f>
        <v>-387.80890118963</v>
      </c>
      <c r="P65" s="20" t="n">
        <f aca="false">IF($A65&gt;PARAMETROS!$C$33,"",MAX(E65+I65+J65-N65,0))</f>
        <v>1038755.57323472</v>
      </c>
      <c r="Q65" s="22" t="str">
        <f aca="false">IF($A65&gt;PARAMETROS!$C$33,"",IF(P65&lt;=0,"AGOTADO","OK"))</f>
        <v>OK</v>
      </c>
    </row>
    <row r="66" customFormat="false" ht="15" hidden="false" customHeight="false" outlineLevel="0" collapsed="false">
      <c r="A66" s="19" t="n">
        <f aca="false">A65+1</f>
        <v>64</v>
      </c>
      <c r="B66" s="19" t="n">
        <f aca="false">IF($A66="","",ROUNDUP($A66/12,0))</f>
        <v>6</v>
      </c>
      <c r="C66" s="19" t="n">
        <f aca="false">IF($A66="","",PARAMETROS!$C$6+INT(($A66-1)/12))</f>
        <v>70</v>
      </c>
      <c r="D66" s="19" t="n">
        <f aca="false">IF($A66="","",MOD($A66-1,12)+1)</f>
        <v>4</v>
      </c>
      <c r="E66" s="20" t="n">
        <f aca="false">IF($A66&gt;PARAMETROS!$C$33,"",P65)</f>
        <v>1038755.57323472</v>
      </c>
      <c r="F66" s="21" t="n">
        <f aca="false">IF($A66&gt;PARAMETROS!$C$33,"",PARAMETROS!$C$38)</f>
        <v>0.00495440818448101</v>
      </c>
      <c r="G66" s="20" t="n">
        <f aca="false">IF($A66&gt;PARAMETROS!$C$33,"",E66*F66)</f>
        <v>5146.41911370934</v>
      </c>
      <c r="H66" s="20" t="n">
        <f aca="false">IF($A66&gt;PARAMETROS!$C$33,"",E66*PARAMETROS!$C$39)</f>
        <v>775.871387942765</v>
      </c>
      <c r="I66" s="20" t="n">
        <f aca="false">IF($A66&gt;PARAMETROS!$C$33,"",G66-H66)</f>
        <v>4370.54772576657</v>
      </c>
      <c r="J66" s="20" t="n">
        <f aca="false">IF($A66&gt;PARAMETROS!$C$33,"",PARAMETROS!$C$9*(1+PARAMETROS!$C$17)^(B66-1))</f>
        <v>36394.4212168446</v>
      </c>
      <c r="K66" s="20" t="n">
        <f aca="false">IF($A66&gt;PARAMETROS!$C$33,"",K65*(1+PARAMETROS!$C$36))</f>
        <v>31756.0637394895</v>
      </c>
      <c r="L66" s="20" t="n">
        <f aca="false">IF($A66&gt;PARAMETROS!$C$33,"",L65*(1+PARAMETROS!$C$37)*(1+M66))</f>
        <v>9563.96030731092</v>
      </c>
      <c r="M66" s="21" t="n">
        <f aca="false">IF($A66&gt;PARAMETROS!$C$33,"",IF(C66&lt;70,PARAMETROS!$C$40,IF(C66&lt;75,PARAMETROS!$C$41,IF(C66&lt;80,PARAMETROS!$C$42,IF(C66&lt;85,PARAMETROS!$C$43,IF(C66&lt;90,PARAMETROS!$C$44,PARAMETROS!$C$45))))))</f>
        <v>0.00205983626984274</v>
      </c>
      <c r="N66" s="20" t="n">
        <f aca="false">IF($A66&gt;PARAMETROS!$C$33,"",K66+L66)</f>
        <v>41320.0240468004</v>
      </c>
      <c r="O66" s="20" t="n">
        <f aca="false">IF($A66&gt;PARAMETROS!$C$33,"",I66+J66-N66)</f>
        <v>-555.055104189254</v>
      </c>
      <c r="P66" s="20" t="n">
        <f aca="false">IF($A66&gt;PARAMETROS!$C$33,"",MAX(E66+I66+J66-N66,0))</f>
        <v>1038200.51813053</v>
      </c>
      <c r="Q66" s="22" t="str">
        <f aca="false">IF($A66&gt;PARAMETROS!$C$33,"",IF(P66&lt;=0,"AGOTADO","OK"))</f>
        <v>OK</v>
      </c>
    </row>
    <row r="67" customFormat="false" ht="15" hidden="false" customHeight="false" outlineLevel="0" collapsed="false">
      <c r="A67" s="19" t="n">
        <f aca="false">A66+1</f>
        <v>65</v>
      </c>
      <c r="B67" s="19" t="n">
        <f aca="false">IF($A67="","",ROUNDUP($A67/12,0))</f>
        <v>6</v>
      </c>
      <c r="C67" s="19" t="n">
        <f aca="false">IF($A67="","",PARAMETROS!$C$6+INT(($A67-1)/12))</f>
        <v>70</v>
      </c>
      <c r="D67" s="19" t="n">
        <f aca="false">IF($A67="","",MOD($A67-1,12)+1)</f>
        <v>5</v>
      </c>
      <c r="E67" s="20" t="n">
        <f aca="false">IF($A67&gt;PARAMETROS!$C$33,"",P66)</f>
        <v>1038200.51813053</v>
      </c>
      <c r="F67" s="21" t="n">
        <f aca="false">IF($A67&gt;PARAMETROS!$C$33,"",PARAMETROS!$C$38)</f>
        <v>0.00495440818448101</v>
      </c>
      <c r="G67" s="20" t="n">
        <f aca="false">IF($A67&gt;PARAMETROS!$C$33,"",E67*F67)</f>
        <v>5143.66914415831</v>
      </c>
      <c r="H67" s="20" t="n">
        <f aca="false">IF($A67&gt;PARAMETROS!$C$33,"",E67*PARAMETROS!$C$39)</f>
        <v>775.456804006786</v>
      </c>
      <c r="I67" s="20" t="n">
        <f aca="false">IF($A67&gt;PARAMETROS!$C$33,"",G67-H67)</f>
        <v>4368.21234015152</v>
      </c>
      <c r="J67" s="20" t="n">
        <f aca="false">IF($A67&gt;PARAMETROS!$C$33,"",PARAMETROS!$C$9*(1+PARAMETROS!$C$17)^(B67-1))</f>
        <v>36394.4212168446</v>
      </c>
      <c r="K67" s="20" t="n">
        <f aca="false">IF($A67&gt;PARAMETROS!$C$33,"",K66*(1+PARAMETROS!$C$36))</f>
        <v>31864.8712564595</v>
      </c>
      <c r="L67" s="20" t="n">
        <f aca="false">IF($A67&gt;PARAMETROS!$C$33,"",L66*(1+PARAMETROS!$C$37)*(1+M67))</f>
        <v>9621.48273370791</v>
      </c>
      <c r="M67" s="21" t="n">
        <f aca="false">IF($A67&gt;PARAMETROS!$C$33,"",IF(C67&lt;70,PARAMETROS!$C$40,IF(C67&lt;75,PARAMETROS!$C$41,IF(C67&lt;80,PARAMETROS!$C$42,IF(C67&lt;85,PARAMETROS!$C$43,IF(C67&lt;90,PARAMETROS!$C$44,PARAMETROS!$C$45))))))</f>
        <v>0.00205983626984274</v>
      </c>
      <c r="N67" s="20" t="n">
        <f aca="false">IF($A67&gt;PARAMETROS!$C$33,"",K67+L67)</f>
        <v>41486.3539901674</v>
      </c>
      <c r="O67" s="20" t="n">
        <f aca="false">IF($A67&gt;PARAMETROS!$C$33,"",I67+J67-N67)</f>
        <v>-723.720433171344</v>
      </c>
      <c r="P67" s="20" t="n">
        <f aca="false">IF($A67&gt;PARAMETROS!$C$33,"",MAX(E67+I67+J67-N67,0))</f>
        <v>1037476.79769736</v>
      </c>
      <c r="Q67" s="22" t="str">
        <f aca="false">IF($A67&gt;PARAMETROS!$C$33,"",IF(P67&lt;=0,"AGOTADO","OK"))</f>
        <v>OK</v>
      </c>
    </row>
    <row r="68" customFormat="false" ht="15" hidden="false" customHeight="false" outlineLevel="0" collapsed="false">
      <c r="A68" s="19" t="n">
        <f aca="false">A67+1</f>
        <v>66</v>
      </c>
      <c r="B68" s="19" t="n">
        <f aca="false">IF($A68="","",ROUNDUP($A68/12,0))</f>
        <v>6</v>
      </c>
      <c r="C68" s="19" t="n">
        <f aca="false">IF($A68="","",PARAMETROS!$C$6+INT(($A68-1)/12))</f>
        <v>70</v>
      </c>
      <c r="D68" s="19" t="n">
        <f aca="false">IF($A68="","",MOD($A68-1,12)+1)</f>
        <v>6</v>
      </c>
      <c r="E68" s="20" t="n">
        <f aca="false">IF($A68&gt;PARAMETROS!$C$33,"",P67)</f>
        <v>1037476.79769736</v>
      </c>
      <c r="F68" s="21" t="n">
        <f aca="false">IF($A68&gt;PARAMETROS!$C$33,"",PARAMETROS!$C$38)</f>
        <v>0.00495440818448101</v>
      </c>
      <c r="G68" s="20" t="n">
        <f aca="false">IF($A68&gt;PARAMETROS!$C$33,"",E68*F68)</f>
        <v>5140.08353772093</v>
      </c>
      <c r="H68" s="20" t="n">
        <f aca="false">IF($A68&gt;PARAMETROS!$C$33,"",E68*PARAMETROS!$C$39)</f>
        <v>774.916239901586</v>
      </c>
      <c r="I68" s="20" t="n">
        <f aca="false">IF($A68&gt;PARAMETROS!$C$33,"",G68-H68)</f>
        <v>4365.16729781934</v>
      </c>
      <c r="J68" s="20" t="n">
        <f aca="false">IF($A68&gt;PARAMETROS!$C$33,"",PARAMETROS!$C$9*(1+PARAMETROS!$C$17)^(B68-1))</f>
        <v>36394.4212168446</v>
      </c>
      <c r="K68" s="20" t="n">
        <f aca="false">IF($A68&gt;PARAMETROS!$C$33,"",K67*(1+PARAMETROS!$C$36))</f>
        <v>31974.0515865038</v>
      </c>
      <c r="L68" s="20" t="n">
        <f aca="false">IF($A68&gt;PARAMETROS!$C$33,"",L67*(1+PARAMETROS!$C$37)*(1+M68))</f>
        <v>9679.35112866105</v>
      </c>
      <c r="M68" s="21" t="n">
        <f aca="false">IF($A68&gt;PARAMETROS!$C$33,"",IF(C68&lt;70,PARAMETROS!$C$40,IF(C68&lt;75,PARAMETROS!$C$41,IF(C68&lt;80,PARAMETROS!$C$42,IF(C68&lt;85,PARAMETROS!$C$43,IF(C68&lt;90,PARAMETROS!$C$44,PARAMETROS!$C$45))))))</f>
        <v>0.00205983626984274</v>
      </c>
      <c r="N68" s="20" t="n">
        <f aca="false">IF($A68&gt;PARAMETROS!$C$33,"",K68+L68)</f>
        <v>41653.4027151649</v>
      </c>
      <c r="O68" s="20" t="n">
        <f aca="false">IF($A68&gt;PARAMETROS!$C$33,"",I68+J68-N68)</f>
        <v>-893.814200500972</v>
      </c>
      <c r="P68" s="20" t="n">
        <f aca="false">IF($A68&gt;PARAMETROS!$C$33,"",MAX(E68+I68+J68-N68,0))</f>
        <v>1036582.98349685</v>
      </c>
      <c r="Q68" s="22" t="str">
        <f aca="false">IF($A68&gt;PARAMETROS!$C$33,"",IF(P68&lt;=0,"AGOTADO","OK"))</f>
        <v>OK</v>
      </c>
    </row>
    <row r="69" customFormat="false" ht="15" hidden="false" customHeight="false" outlineLevel="0" collapsed="false">
      <c r="A69" s="19" t="n">
        <f aca="false">A68+1</f>
        <v>67</v>
      </c>
      <c r="B69" s="19" t="n">
        <f aca="false">IF($A69="","",ROUNDUP($A69/12,0))</f>
        <v>6</v>
      </c>
      <c r="C69" s="19" t="n">
        <f aca="false">IF($A69="","",PARAMETROS!$C$6+INT(($A69-1)/12))</f>
        <v>70</v>
      </c>
      <c r="D69" s="19" t="n">
        <f aca="false">IF($A69="","",MOD($A69-1,12)+1)</f>
        <v>7</v>
      </c>
      <c r="E69" s="20" t="n">
        <f aca="false">IF($A69&gt;PARAMETROS!$C$33,"",P68)</f>
        <v>1036582.98349685</v>
      </c>
      <c r="F69" s="21" t="n">
        <f aca="false">IF($A69&gt;PARAMETROS!$C$33,"",PARAMETROS!$C$38)</f>
        <v>0.00495440818448101</v>
      </c>
      <c r="G69" s="20" t="n">
        <f aca="false">IF($A69&gt;PARAMETROS!$C$33,"",E69*F69)</f>
        <v>5135.65521733056</v>
      </c>
      <c r="H69" s="20" t="n">
        <f aca="false">IF($A69&gt;PARAMETROS!$C$33,"",E69*PARAMETROS!$C$39)</f>
        <v>774.248628692391</v>
      </c>
      <c r="I69" s="20" t="n">
        <f aca="false">IF($A69&gt;PARAMETROS!$C$33,"",G69-H69)</f>
        <v>4361.40658863817</v>
      </c>
      <c r="J69" s="20" t="n">
        <f aca="false">IF($A69&gt;PARAMETROS!$C$33,"",PARAMETROS!$C$9*(1+PARAMETROS!$C$17)^(B69-1))</f>
        <v>36394.4212168446</v>
      </c>
      <c r="K69" s="20" t="n">
        <f aca="false">IF($A69&gt;PARAMETROS!$C$33,"",K68*(1+PARAMETROS!$C$36))</f>
        <v>32083.606007012</v>
      </c>
      <c r="L69" s="20" t="n">
        <f aca="false">IF($A69&gt;PARAMETROS!$C$33,"",L68*(1+PARAMETROS!$C$37)*(1+M69))</f>
        <v>9737.56757299775</v>
      </c>
      <c r="M69" s="21" t="n">
        <f aca="false">IF($A69&gt;PARAMETROS!$C$33,"",IF(C69&lt;70,PARAMETROS!$C$40,IF(C69&lt;75,PARAMETROS!$C$41,IF(C69&lt;80,PARAMETROS!$C$42,IF(C69&lt;85,PARAMETROS!$C$43,IF(C69&lt;90,PARAMETROS!$C$44,PARAMETROS!$C$45))))))</f>
        <v>0.00205983626984274</v>
      </c>
      <c r="N69" s="20" t="n">
        <f aca="false">IF($A69&gt;PARAMETROS!$C$33,"",K69+L69)</f>
        <v>41821.1735800097</v>
      </c>
      <c r="O69" s="20" t="n">
        <f aca="false">IF($A69&gt;PARAMETROS!$C$33,"",I69+J69-N69)</f>
        <v>-1065.34577452699</v>
      </c>
      <c r="P69" s="20" t="n">
        <f aca="false">IF($A69&gt;PARAMETROS!$C$33,"",MAX(E69+I69+J69-N69,0))</f>
        <v>1035517.63772233</v>
      </c>
      <c r="Q69" s="22" t="str">
        <f aca="false">IF($A69&gt;PARAMETROS!$C$33,"",IF(P69&lt;=0,"AGOTADO","OK"))</f>
        <v>OK</v>
      </c>
    </row>
    <row r="70" customFormat="false" ht="15" hidden="false" customHeight="false" outlineLevel="0" collapsed="false">
      <c r="A70" s="19" t="n">
        <f aca="false">A69+1</f>
        <v>68</v>
      </c>
      <c r="B70" s="19" t="n">
        <f aca="false">IF($A70="","",ROUNDUP($A70/12,0))</f>
        <v>6</v>
      </c>
      <c r="C70" s="19" t="n">
        <f aca="false">IF($A70="","",PARAMETROS!$C$6+INT(($A70-1)/12))</f>
        <v>70</v>
      </c>
      <c r="D70" s="19" t="n">
        <f aca="false">IF($A70="","",MOD($A70-1,12)+1)</f>
        <v>8</v>
      </c>
      <c r="E70" s="20" t="n">
        <f aca="false">IF($A70&gt;PARAMETROS!$C$33,"",P69)</f>
        <v>1035517.63772233</v>
      </c>
      <c r="F70" s="21" t="n">
        <f aca="false">IF($A70&gt;PARAMETROS!$C$33,"",PARAMETROS!$C$38)</f>
        <v>0.00495440818448101</v>
      </c>
      <c r="G70" s="20" t="n">
        <f aca="false">IF($A70&gt;PARAMETROS!$C$33,"",E70*F70)</f>
        <v>5130.37705950594</v>
      </c>
      <c r="H70" s="20" t="n">
        <f aca="false">IF($A70&gt;PARAMETROS!$C$33,"",E70*PARAMETROS!$C$39)</f>
        <v>773.452896446982</v>
      </c>
      <c r="I70" s="20" t="n">
        <f aca="false">IF($A70&gt;PARAMETROS!$C$33,"",G70-H70)</f>
        <v>4356.92416305896</v>
      </c>
      <c r="J70" s="20" t="n">
        <f aca="false">IF($A70&gt;PARAMETROS!$C$33,"",PARAMETROS!$C$9*(1+PARAMETROS!$C$17)^(B70-1))</f>
        <v>36394.4212168446</v>
      </c>
      <c r="K70" s="20" t="n">
        <f aca="false">IF($A70&gt;PARAMETROS!$C$33,"",K69*(1+PARAMETROS!$C$36))</f>
        <v>32193.5357997503</v>
      </c>
      <c r="L70" s="20" t="n">
        <f aca="false">IF($A70&gt;PARAMETROS!$C$33,"",L69*(1+PARAMETROS!$C$37)*(1+M70))</f>
        <v>9796.13416006058</v>
      </c>
      <c r="M70" s="21" t="n">
        <f aca="false">IF($A70&gt;PARAMETROS!$C$33,"",IF(C70&lt;70,PARAMETROS!$C$40,IF(C70&lt;75,PARAMETROS!$C$41,IF(C70&lt;80,PARAMETROS!$C$42,IF(C70&lt;85,PARAMETROS!$C$43,IF(C70&lt;90,PARAMETROS!$C$44,PARAMETROS!$C$45))))))</f>
        <v>0.00205983626984274</v>
      </c>
      <c r="N70" s="20" t="n">
        <f aca="false">IF($A70&gt;PARAMETROS!$C$33,"",K70+L70)</f>
        <v>41989.6699598109</v>
      </c>
      <c r="O70" s="20" t="n">
        <f aca="false">IF($A70&gt;PARAMETROS!$C$33,"",I70+J70-N70)</f>
        <v>-1238.32457990738</v>
      </c>
      <c r="P70" s="20" t="n">
        <f aca="false">IF($A70&gt;PARAMETROS!$C$33,"",MAX(E70+I70+J70-N70,0))</f>
        <v>1034279.31314242</v>
      </c>
      <c r="Q70" s="22" t="str">
        <f aca="false">IF($A70&gt;PARAMETROS!$C$33,"",IF(P70&lt;=0,"AGOTADO","OK"))</f>
        <v>OK</v>
      </c>
    </row>
    <row r="71" customFormat="false" ht="15" hidden="false" customHeight="false" outlineLevel="0" collapsed="false">
      <c r="A71" s="19" t="n">
        <f aca="false">A70+1</f>
        <v>69</v>
      </c>
      <c r="B71" s="19" t="n">
        <f aca="false">IF($A71="","",ROUNDUP($A71/12,0))</f>
        <v>6</v>
      </c>
      <c r="C71" s="19" t="n">
        <f aca="false">IF($A71="","",PARAMETROS!$C$6+INT(($A71-1)/12))</f>
        <v>70</v>
      </c>
      <c r="D71" s="19" t="n">
        <f aca="false">IF($A71="","",MOD($A71-1,12)+1)</f>
        <v>9</v>
      </c>
      <c r="E71" s="20" t="n">
        <f aca="false">IF($A71&gt;PARAMETROS!$C$33,"",P70)</f>
        <v>1034279.31314242</v>
      </c>
      <c r="F71" s="21" t="n">
        <f aca="false">IF($A71&gt;PARAMETROS!$C$33,"",PARAMETROS!$C$38)</f>
        <v>0.00495440818448101</v>
      </c>
      <c r="G71" s="20" t="n">
        <f aca="false">IF($A71&gt;PARAMETROS!$C$33,"",E71*F71)</f>
        <v>5124.2418940722</v>
      </c>
      <c r="H71" s="20" t="n">
        <f aca="false">IF($A71&gt;PARAMETROS!$C$33,"",E71*PARAMETROS!$C$39)</f>
        <v>772.527962193638</v>
      </c>
      <c r="I71" s="20" t="n">
        <f aca="false">IF($A71&gt;PARAMETROS!$C$33,"",G71-H71)</f>
        <v>4351.71393187856</v>
      </c>
      <c r="J71" s="20" t="n">
        <f aca="false">IF($A71&gt;PARAMETROS!$C$33,"",PARAMETROS!$C$9*(1+PARAMETROS!$C$17)^(B71-1))</f>
        <v>36394.4212168446</v>
      </c>
      <c r="K71" s="20" t="n">
        <f aca="false">IF($A71&gt;PARAMETROS!$C$33,"",K70*(1+PARAMETROS!$C$36))</f>
        <v>32303.842250877</v>
      </c>
      <c r="L71" s="20" t="n">
        <f aca="false">IF($A71&gt;PARAMETROS!$C$33,"",L70*(1+PARAMETROS!$C$37)*(1+M71))</f>
        <v>9855.05299578247</v>
      </c>
      <c r="M71" s="21" t="n">
        <f aca="false">IF($A71&gt;PARAMETROS!$C$33,"",IF(C71&lt;70,PARAMETROS!$C$40,IF(C71&lt;75,PARAMETROS!$C$41,IF(C71&lt;80,PARAMETROS!$C$42,IF(C71&lt;85,PARAMETROS!$C$43,IF(C71&lt;90,PARAMETROS!$C$44,PARAMETROS!$C$45))))))</f>
        <v>0.00205983626984274</v>
      </c>
      <c r="N71" s="20" t="n">
        <f aca="false">IF($A71&gt;PARAMETROS!$C$33,"",K71+L71)</f>
        <v>42158.8952466595</v>
      </c>
      <c r="O71" s="20" t="n">
        <f aca="false">IF($A71&gt;PARAMETROS!$C$33,"",I71+J71-N71)</f>
        <v>-1412.76009793639</v>
      </c>
      <c r="P71" s="20" t="n">
        <f aca="false">IF($A71&gt;PARAMETROS!$C$33,"",MAX(E71+I71+J71-N71,0))</f>
        <v>1032866.55304448</v>
      </c>
      <c r="Q71" s="22" t="str">
        <f aca="false">IF($A71&gt;PARAMETROS!$C$33,"",IF(P71&lt;=0,"AGOTADO","OK"))</f>
        <v>OK</v>
      </c>
    </row>
    <row r="72" customFormat="false" ht="15" hidden="false" customHeight="false" outlineLevel="0" collapsed="false">
      <c r="A72" s="19" t="n">
        <f aca="false">A71+1</f>
        <v>70</v>
      </c>
      <c r="B72" s="19" t="n">
        <f aca="false">IF($A72="","",ROUNDUP($A72/12,0))</f>
        <v>6</v>
      </c>
      <c r="C72" s="19" t="n">
        <f aca="false">IF($A72="","",PARAMETROS!$C$6+INT(($A72-1)/12))</f>
        <v>70</v>
      </c>
      <c r="D72" s="19" t="n">
        <f aca="false">IF($A72="","",MOD($A72-1,12)+1)</f>
        <v>10</v>
      </c>
      <c r="E72" s="20" t="n">
        <f aca="false">IF($A72&gt;PARAMETROS!$C$33,"",P71)</f>
        <v>1032866.55304448</v>
      </c>
      <c r="F72" s="21" t="n">
        <f aca="false">IF($A72&gt;PARAMETROS!$C$33,"",PARAMETROS!$C$38)</f>
        <v>0.00495440818448101</v>
      </c>
      <c r="G72" s="20" t="n">
        <f aca="false">IF($A72&gt;PARAMETROS!$C$33,"",E72*F72)</f>
        <v>5117.24250388028</v>
      </c>
      <c r="H72" s="20" t="n">
        <f aca="false">IF($A72&gt;PARAMETROS!$C$33,"",E72*PARAMETROS!$C$39)</f>
        <v>771.472737878833</v>
      </c>
      <c r="I72" s="20" t="n">
        <f aca="false">IF($A72&gt;PARAMETROS!$C$33,"",G72-H72)</f>
        <v>4345.76976600144</v>
      </c>
      <c r="J72" s="20" t="n">
        <f aca="false">IF($A72&gt;PARAMETROS!$C$33,"",PARAMETROS!$C$9*(1+PARAMETROS!$C$17)^(B72-1))</f>
        <v>36394.4212168446</v>
      </c>
      <c r="K72" s="20" t="n">
        <f aca="false">IF($A72&gt;PARAMETROS!$C$33,"",K71*(1+PARAMETROS!$C$36))</f>
        <v>32414.5266509571</v>
      </c>
      <c r="L72" s="20" t="n">
        <f aca="false">IF($A72&gt;PARAMETROS!$C$33,"",L71*(1+PARAMETROS!$C$37)*(1+M72))</f>
        <v>9914.32619876251</v>
      </c>
      <c r="M72" s="21" t="n">
        <f aca="false">IF($A72&gt;PARAMETROS!$C$33,"",IF(C72&lt;70,PARAMETROS!$C$40,IF(C72&lt;75,PARAMETROS!$C$41,IF(C72&lt;80,PARAMETROS!$C$42,IF(C72&lt;85,PARAMETROS!$C$43,IF(C72&lt;90,PARAMETROS!$C$44,PARAMETROS!$C$45))))))</f>
        <v>0.00205983626984274</v>
      </c>
      <c r="N72" s="20" t="n">
        <f aca="false">IF($A72&gt;PARAMETROS!$C$33,"",K72+L72)</f>
        <v>42328.8528497196</v>
      </c>
      <c r="O72" s="20" t="n">
        <f aca="false">IF($A72&gt;PARAMETROS!$C$33,"",I72+J72-N72)</f>
        <v>-1588.66186687363</v>
      </c>
      <c r="P72" s="20" t="n">
        <f aca="false">IF($A72&gt;PARAMETROS!$C$33,"",MAX(E72+I72+J72-N72,0))</f>
        <v>1031277.89117761</v>
      </c>
      <c r="Q72" s="22" t="str">
        <f aca="false">IF($A72&gt;PARAMETROS!$C$33,"",IF(P72&lt;=0,"AGOTADO","OK"))</f>
        <v>OK</v>
      </c>
    </row>
    <row r="73" customFormat="false" ht="15" hidden="false" customHeight="false" outlineLevel="0" collapsed="false">
      <c r="A73" s="19" t="n">
        <f aca="false">A72+1</f>
        <v>71</v>
      </c>
      <c r="B73" s="19" t="n">
        <f aca="false">IF($A73="","",ROUNDUP($A73/12,0))</f>
        <v>6</v>
      </c>
      <c r="C73" s="19" t="n">
        <f aca="false">IF($A73="","",PARAMETROS!$C$6+INT(($A73-1)/12))</f>
        <v>70</v>
      </c>
      <c r="D73" s="19" t="n">
        <f aca="false">IF($A73="","",MOD($A73-1,12)+1)</f>
        <v>11</v>
      </c>
      <c r="E73" s="20" t="n">
        <f aca="false">IF($A73&gt;PARAMETROS!$C$33,"",P72)</f>
        <v>1031277.89117761</v>
      </c>
      <c r="F73" s="21" t="n">
        <f aca="false">IF($A73&gt;PARAMETROS!$C$33,"",PARAMETROS!$C$38)</f>
        <v>0.00495440818448101</v>
      </c>
      <c r="G73" s="20" t="n">
        <f aca="false">IF($A73&gt;PARAMETROS!$C$33,"",E73*F73)</f>
        <v>5109.37162452467</v>
      </c>
      <c r="H73" s="20" t="n">
        <f aca="false">IF($A73&gt;PARAMETROS!$C$33,"",E73*PARAMETROS!$C$39)</f>
        <v>770.286128324687</v>
      </c>
      <c r="I73" s="20" t="n">
        <f aca="false">IF($A73&gt;PARAMETROS!$C$33,"",G73-H73)</f>
        <v>4339.08549619998</v>
      </c>
      <c r="J73" s="20" t="n">
        <f aca="false">IF($A73&gt;PARAMETROS!$C$33,"",PARAMETROS!$C$9*(1+PARAMETROS!$C$17)^(B73-1))</f>
        <v>36394.4212168446</v>
      </c>
      <c r="K73" s="20" t="n">
        <f aca="false">IF($A73&gt;PARAMETROS!$C$33,"",K72*(1+PARAMETROS!$C$36))</f>
        <v>32525.5902949775</v>
      </c>
      <c r="L73" s="20" t="n">
        <f aca="false">IF($A73&gt;PARAMETROS!$C$33,"",L72*(1+PARAMETROS!$C$37)*(1+M73))</f>
        <v>9973.95590034211</v>
      </c>
      <c r="M73" s="21" t="n">
        <f aca="false">IF($A73&gt;PARAMETROS!$C$33,"",IF(C73&lt;70,PARAMETROS!$C$40,IF(C73&lt;75,PARAMETROS!$C$41,IF(C73&lt;80,PARAMETROS!$C$42,IF(C73&lt;85,PARAMETROS!$C$43,IF(C73&lt;90,PARAMETROS!$C$44,PARAMETROS!$C$45))))))</f>
        <v>0.00205983626984274</v>
      </c>
      <c r="N73" s="20" t="n">
        <f aca="false">IF($A73&gt;PARAMETROS!$C$33,"",K73+L73)</f>
        <v>42499.5461953196</v>
      </c>
      <c r="O73" s="20" t="n">
        <f aca="false">IF($A73&gt;PARAMETROS!$C$33,"",I73+J73-N73)</f>
        <v>-1766.03948227503</v>
      </c>
      <c r="P73" s="20" t="n">
        <f aca="false">IF($A73&gt;PARAMETROS!$C$33,"",MAX(E73+I73+J73-N73,0))</f>
        <v>1029511.85169534</v>
      </c>
      <c r="Q73" s="22" t="str">
        <f aca="false">IF($A73&gt;PARAMETROS!$C$33,"",IF(P73&lt;=0,"AGOTADO","OK"))</f>
        <v>OK</v>
      </c>
    </row>
    <row r="74" customFormat="false" ht="15" hidden="false" customHeight="false" outlineLevel="0" collapsed="false">
      <c r="A74" s="19" t="n">
        <f aca="false">A73+1</f>
        <v>72</v>
      </c>
      <c r="B74" s="19" t="n">
        <f aca="false">IF($A74="","",ROUNDUP($A74/12,0))</f>
        <v>6</v>
      </c>
      <c r="C74" s="19" t="n">
        <f aca="false">IF($A74="","",PARAMETROS!$C$6+INT(($A74-1)/12))</f>
        <v>70</v>
      </c>
      <c r="D74" s="19" t="n">
        <f aca="false">IF($A74="","",MOD($A74-1,12)+1)</f>
        <v>12</v>
      </c>
      <c r="E74" s="20" t="n">
        <f aca="false">IF($A74&gt;PARAMETROS!$C$33,"",P73)</f>
        <v>1029511.85169534</v>
      </c>
      <c r="F74" s="21" t="n">
        <f aca="false">IF($A74&gt;PARAMETROS!$C$33,"",PARAMETROS!$C$38)</f>
        <v>0.00495440818448101</v>
      </c>
      <c r="G74" s="20" t="n">
        <f aca="false">IF($A74&gt;PARAMETROS!$C$33,"",E74*F74)</f>
        <v>5100.62194405957</v>
      </c>
      <c r="H74" s="20" t="n">
        <f aca="false">IF($A74&gt;PARAMETROS!$C$33,"",E74*PARAMETROS!$C$39)</f>
        <v>768.967031186168</v>
      </c>
      <c r="I74" s="20" t="n">
        <f aca="false">IF($A74&gt;PARAMETROS!$C$33,"",G74-H74)</f>
        <v>4331.6549128734</v>
      </c>
      <c r="J74" s="20" t="n">
        <f aca="false">IF($A74&gt;PARAMETROS!$C$33,"",PARAMETROS!$C$9*(1+PARAMETROS!$C$17)^(B74-1))</f>
        <v>36394.4212168446</v>
      </c>
      <c r="K74" s="20" t="n">
        <f aca="false">IF($A74&gt;PARAMETROS!$C$33,"",K73*(1+PARAMETROS!$C$36))</f>
        <v>32637.0344823621</v>
      </c>
      <c r="L74" s="20" t="n">
        <f aca="false">IF($A74&gt;PARAMETROS!$C$33,"",L73*(1+PARAMETROS!$C$37)*(1+M74))</f>
        <v>10033.9442446816</v>
      </c>
      <c r="M74" s="21" t="n">
        <f aca="false">IF($A74&gt;PARAMETROS!$C$33,"",IF(C74&lt;70,PARAMETROS!$C$40,IF(C74&lt;75,PARAMETROS!$C$41,IF(C74&lt;80,PARAMETROS!$C$42,IF(C74&lt;85,PARAMETROS!$C$43,IF(C74&lt;90,PARAMETROS!$C$44,PARAMETROS!$C$45))))))</f>
        <v>0.00205983626984274</v>
      </c>
      <c r="N74" s="20" t="n">
        <f aca="false">IF($A74&gt;PARAMETROS!$C$33,"",K74+L74)</f>
        <v>42670.9787270437</v>
      </c>
      <c r="O74" s="20" t="n">
        <f aca="false">IF($A74&gt;PARAMETROS!$C$33,"",I74+J74-N74)</f>
        <v>-1944.90259732573</v>
      </c>
      <c r="P74" s="20" t="n">
        <f aca="false">IF($A74&gt;PARAMETROS!$C$33,"",MAX(E74+I74+J74-N74,0))</f>
        <v>1027566.94909801</v>
      </c>
      <c r="Q74" s="22" t="str">
        <f aca="false">IF($A74&gt;PARAMETROS!$C$33,"",IF(P74&lt;=0,"AGOTADO","OK"))</f>
        <v>OK</v>
      </c>
    </row>
    <row r="75" customFormat="false" ht="15" hidden="false" customHeight="false" outlineLevel="0" collapsed="false">
      <c r="A75" s="15" t="n">
        <f aca="false">A74+1</f>
        <v>73</v>
      </c>
      <c r="B75" s="15" t="n">
        <f aca="false">IF($A75="","",ROUNDUP($A75/12,0))</f>
        <v>7</v>
      </c>
      <c r="C75" s="15" t="n">
        <f aca="false">IF($A75="","",PARAMETROS!$C$6+INT(($A75-1)/12))</f>
        <v>71</v>
      </c>
      <c r="D75" s="15" t="n">
        <f aca="false">IF($A75="","",MOD($A75-1,12)+1)</f>
        <v>1</v>
      </c>
      <c r="E75" s="16" t="n">
        <f aca="false">IF($A75&gt;PARAMETROS!$C$33,"",P74)</f>
        <v>1027566.94909801</v>
      </c>
      <c r="F75" s="17" t="n">
        <f aca="false">IF($A75&gt;PARAMETROS!$C$33,"",PARAMETROS!$C$38)</f>
        <v>0.00495440818448101</v>
      </c>
      <c r="G75" s="16" t="n">
        <f aca="false">IF($A75&gt;PARAMETROS!$C$33,"",E75*F75)</f>
        <v>5090.98610271336</v>
      </c>
      <c r="H75" s="16" t="n">
        <f aca="false">IF($A75&gt;PARAMETROS!$C$33,"",E75*PARAMETROS!$C$39)</f>
        <v>767.514336908051</v>
      </c>
      <c r="I75" s="16" t="n">
        <f aca="false">IF($A75&gt;PARAMETROS!$C$33,"",G75-H75)</f>
        <v>4323.47176580531</v>
      </c>
      <c r="J75" s="16" t="n">
        <f aca="false">IF($A75&gt;PARAMETROS!$C$33,"",PARAMETROS!$C$9*(1+PARAMETROS!$C$17)^(B75-1))</f>
        <v>37828.3614127882</v>
      </c>
      <c r="K75" s="16" t="n">
        <f aca="false">IF($A75&gt;PARAMETROS!$C$33,"",K74*(1+PARAMETROS!$C$36))</f>
        <v>32748.8605169872</v>
      </c>
      <c r="L75" s="16" t="n">
        <f aca="false">IF($A75&gt;PARAMETROS!$C$33,"",L74*(1+PARAMETROS!$C$37)*(1+M75))</f>
        <v>10094.2933888374</v>
      </c>
      <c r="M75" s="17" t="n">
        <f aca="false">IF($A75&gt;PARAMETROS!$C$33,"",IF(C75&lt;70,PARAMETROS!$C$40,IF(C75&lt;75,PARAMETROS!$C$41,IF(C75&lt;80,PARAMETROS!$C$42,IF(C75&lt;85,PARAMETROS!$C$43,IF(C75&lt;90,PARAMETROS!$C$44,PARAMETROS!$C$45))))))</f>
        <v>0.00205983626984274</v>
      </c>
      <c r="N75" s="16" t="n">
        <f aca="false">IF($A75&gt;PARAMETROS!$C$33,"",K75+L75)</f>
        <v>42843.1539058247</v>
      </c>
      <c r="O75" s="16" t="n">
        <f aca="false">IF($A75&gt;PARAMETROS!$C$33,"",I75+J75-N75)</f>
        <v>-691.320727231112</v>
      </c>
      <c r="P75" s="16" t="n">
        <f aca="false">IF($A75&gt;PARAMETROS!$C$33,"",MAX(E75+I75+J75-N75,0))</f>
        <v>1026875.62837078</v>
      </c>
      <c r="Q75" s="18" t="str">
        <f aca="false">IF($A75&gt;PARAMETROS!$C$33,"",IF(P75&lt;=0,"AGOTADO","OK"))</f>
        <v>OK</v>
      </c>
    </row>
    <row r="76" customFormat="false" ht="15" hidden="false" customHeight="false" outlineLevel="0" collapsed="false">
      <c r="A76" s="15" t="n">
        <f aca="false">A75+1</f>
        <v>74</v>
      </c>
      <c r="B76" s="15" t="n">
        <f aca="false">IF($A76="","",ROUNDUP($A76/12,0))</f>
        <v>7</v>
      </c>
      <c r="C76" s="15" t="n">
        <f aca="false">IF($A76="","",PARAMETROS!$C$6+INT(($A76-1)/12))</f>
        <v>71</v>
      </c>
      <c r="D76" s="15" t="n">
        <f aca="false">IF($A76="","",MOD($A76-1,12)+1)</f>
        <v>2</v>
      </c>
      <c r="E76" s="16" t="n">
        <f aca="false">IF($A76&gt;PARAMETROS!$C$33,"",P75)</f>
        <v>1026875.62837078</v>
      </c>
      <c r="F76" s="17" t="n">
        <f aca="false">IF($A76&gt;PARAMETROS!$C$33,"",PARAMETROS!$C$38)</f>
        <v>0.00495440818448101</v>
      </c>
      <c r="G76" s="16" t="n">
        <f aca="false">IF($A76&gt;PARAMETROS!$C$33,"",E76*F76)</f>
        <v>5087.56101764426</v>
      </c>
      <c r="H76" s="16" t="n">
        <f aca="false">IF($A76&gt;PARAMETROS!$C$33,"",E76*PARAMETROS!$C$39)</f>
        <v>766.99797291832</v>
      </c>
      <c r="I76" s="16" t="n">
        <f aca="false">IF($A76&gt;PARAMETROS!$C$33,"",G76-H76)</f>
        <v>4320.56304472594</v>
      </c>
      <c r="J76" s="16" t="n">
        <f aca="false">IF($A76&gt;PARAMETROS!$C$33,"",PARAMETROS!$C$9*(1+PARAMETROS!$C$17)^(B76-1))</f>
        <v>37828.3614127882</v>
      </c>
      <c r="K76" s="16" t="n">
        <f aca="false">IF($A76&gt;PARAMETROS!$C$33,"",K75*(1+PARAMETROS!$C$36))</f>
        <v>32861.0697071968</v>
      </c>
      <c r="L76" s="16" t="n">
        <f aca="false">IF($A76&gt;PARAMETROS!$C$33,"",L75*(1+PARAMETROS!$C$37)*(1+M76))</f>
        <v>10155.0055028395</v>
      </c>
      <c r="M76" s="17" t="n">
        <f aca="false">IF($A76&gt;PARAMETROS!$C$33,"",IF(C76&lt;70,PARAMETROS!$C$40,IF(C76&lt;75,PARAMETROS!$C$41,IF(C76&lt;80,PARAMETROS!$C$42,IF(C76&lt;85,PARAMETROS!$C$43,IF(C76&lt;90,PARAMETROS!$C$44,PARAMETROS!$C$45))))))</f>
        <v>0.00205983626984274</v>
      </c>
      <c r="N76" s="16" t="n">
        <f aca="false">IF($A76&gt;PARAMETROS!$C$33,"",K76+L76)</f>
        <v>43016.0752100363</v>
      </c>
      <c r="O76" s="16" t="n">
        <f aca="false">IF($A76&gt;PARAMETROS!$C$33,"",I76+J76-N76)</f>
        <v>-867.150752522146</v>
      </c>
      <c r="P76" s="16" t="n">
        <f aca="false">IF($A76&gt;PARAMETROS!$C$33,"",MAX(E76+I76+J76-N76,0))</f>
        <v>1026008.47761826</v>
      </c>
      <c r="Q76" s="18" t="str">
        <f aca="false">IF($A76&gt;PARAMETROS!$C$33,"",IF(P76&lt;=0,"AGOTADO","OK"))</f>
        <v>OK</v>
      </c>
    </row>
    <row r="77" customFormat="false" ht="15" hidden="false" customHeight="false" outlineLevel="0" collapsed="false">
      <c r="A77" s="15" t="n">
        <f aca="false">A76+1</f>
        <v>75</v>
      </c>
      <c r="B77" s="15" t="n">
        <f aca="false">IF($A77="","",ROUNDUP($A77/12,0))</f>
        <v>7</v>
      </c>
      <c r="C77" s="15" t="n">
        <f aca="false">IF($A77="","",PARAMETROS!$C$6+INT(($A77-1)/12))</f>
        <v>71</v>
      </c>
      <c r="D77" s="15" t="n">
        <f aca="false">IF($A77="","",MOD($A77-1,12)+1)</f>
        <v>3</v>
      </c>
      <c r="E77" s="16" t="n">
        <f aca="false">IF($A77&gt;PARAMETROS!$C$33,"",P76)</f>
        <v>1026008.47761826</v>
      </c>
      <c r="F77" s="17" t="n">
        <f aca="false">IF($A77&gt;PARAMETROS!$C$33,"",PARAMETROS!$C$38)</f>
        <v>0.00495440818448101</v>
      </c>
      <c r="G77" s="16" t="n">
        <f aca="false">IF($A77&gt;PARAMETROS!$C$33,"",E77*F77)</f>
        <v>5083.26479885879</v>
      </c>
      <c r="H77" s="16" t="n">
        <f aca="false">IF($A77&gt;PARAMETROS!$C$33,"",E77*PARAMETROS!$C$39)</f>
        <v>766.350277276294</v>
      </c>
      <c r="I77" s="16" t="n">
        <f aca="false">IF($A77&gt;PARAMETROS!$C$33,"",G77-H77)</f>
        <v>4316.91452158249</v>
      </c>
      <c r="J77" s="16" t="n">
        <f aca="false">IF($A77&gt;PARAMETROS!$C$33,"",PARAMETROS!$C$9*(1+PARAMETROS!$C$17)^(B77-1))</f>
        <v>37828.3614127882</v>
      </c>
      <c r="K77" s="16" t="n">
        <f aca="false">IF($A77&gt;PARAMETROS!$C$33,"",K76*(1+PARAMETROS!$C$36))</f>
        <v>32973.6633658175</v>
      </c>
      <c r="L77" s="16" t="n">
        <f aca="false">IF($A77&gt;PARAMETROS!$C$33,"",L76*(1+PARAMETROS!$C$37)*(1+M77))</f>
        <v>10216.0827697696</v>
      </c>
      <c r="M77" s="17" t="n">
        <f aca="false">IF($A77&gt;PARAMETROS!$C$33,"",IF(C77&lt;70,PARAMETROS!$C$40,IF(C77&lt;75,PARAMETROS!$C$41,IF(C77&lt;80,PARAMETROS!$C$42,IF(C77&lt;85,PARAMETROS!$C$43,IF(C77&lt;90,PARAMETROS!$C$44,PARAMETROS!$C$45))))))</f>
        <v>0.00205983626984274</v>
      </c>
      <c r="N77" s="16" t="n">
        <f aca="false">IF($A77&gt;PARAMETROS!$C$33,"",K77+L77)</f>
        <v>43189.746135587</v>
      </c>
      <c r="O77" s="16" t="n">
        <f aca="false">IF($A77&gt;PARAMETROS!$C$33,"",I77+J77-N77)</f>
        <v>-1044.4702012163</v>
      </c>
      <c r="P77" s="16" t="n">
        <f aca="false">IF($A77&gt;PARAMETROS!$C$33,"",MAX(E77+I77+J77-N77,0))</f>
        <v>1024964.00741704</v>
      </c>
      <c r="Q77" s="18" t="str">
        <f aca="false">IF($A77&gt;PARAMETROS!$C$33,"",IF(P77&lt;=0,"AGOTADO","OK"))</f>
        <v>OK</v>
      </c>
    </row>
    <row r="78" customFormat="false" ht="15" hidden="false" customHeight="false" outlineLevel="0" collapsed="false">
      <c r="A78" s="15" t="n">
        <f aca="false">A77+1</f>
        <v>76</v>
      </c>
      <c r="B78" s="15" t="n">
        <f aca="false">IF($A78="","",ROUNDUP($A78/12,0))</f>
        <v>7</v>
      </c>
      <c r="C78" s="15" t="n">
        <f aca="false">IF($A78="","",PARAMETROS!$C$6+INT(($A78-1)/12))</f>
        <v>71</v>
      </c>
      <c r="D78" s="15" t="n">
        <f aca="false">IF($A78="","",MOD($A78-1,12)+1)</f>
        <v>4</v>
      </c>
      <c r="E78" s="16" t="n">
        <f aca="false">IF($A78&gt;PARAMETROS!$C$33,"",P77)</f>
        <v>1024964.00741704</v>
      </c>
      <c r="F78" s="17" t="n">
        <f aca="false">IF($A78&gt;PARAMETROS!$C$33,"",PARAMETROS!$C$38)</f>
        <v>0.00495440818448101</v>
      </c>
      <c r="G78" s="16" t="n">
        <f aca="false">IF($A78&gt;PARAMETROS!$C$33,"",E78*F78)</f>
        <v>5078.09006714543</v>
      </c>
      <c r="H78" s="16" t="n">
        <f aca="false">IF($A78&gt;PARAMETROS!$C$33,"",E78*PARAMETROS!$C$39)</f>
        <v>765.570137496</v>
      </c>
      <c r="I78" s="16" t="n">
        <f aca="false">IF($A78&gt;PARAMETROS!$C$33,"",G78-H78)</f>
        <v>4312.51992964943</v>
      </c>
      <c r="J78" s="16" t="n">
        <f aca="false">IF($A78&gt;PARAMETROS!$C$33,"",PARAMETROS!$C$9*(1+PARAMETROS!$C$17)^(B78-1))</f>
        <v>37828.3614127882</v>
      </c>
      <c r="K78" s="16" t="n">
        <f aca="false">IF($A78&gt;PARAMETROS!$C$33,"",K77*(1+PARAMETROS!$C$36))</f>
        <v>33086.6428101741</v>
      </c>
      <c r="L78" s="16" t="n">
        <f aca="false">IF($A78&gt;PARAMETROS!$C$33,"",L77*(1+PARAMETROS!$C$37)*(1+M78))</f>
        <v>10277.5273858394</v>
      </c>
      <c r="M78" s="17" t="n">
        <f aca="false">IF($A78&gt;PARAMETROS!$C$33,"",IF(C78&lt;70,PARAMETROS!$C$40,IF(C78&lt;75,PARAMETROS!$C$41,IF(C78&lt;80,PARAMETROS!$C$42,IF(C78&lt;85,PARAMETROS!$C$43,IF(C78&lt;90,PARAMETROS!$C$44,PARAMETROS!$C$45))))))</f>
        <v>0.00205983626984274</v>
      </c>
      <c r="N78" s="16" t="n">
        <f aca="false">IF($A78&gt;PARAMETROS!$C$33,"",K78+L78)</f>
        <v>43364.1701960134</v>
      </c>
      <c r="O78" s="16" t="n">
        <f aca="false">IF($A78&gt;PARAMETROS!$C$33,"",I78+J78-N78)</f>
        <v>-1223.28885357578</v>
      </c>
      <c r="P78" s="16" t="n">
        <f aca="false">IF($A78&gt;PARAMETROS!$C$33,"",MAX(E78+I78+J78-N78,0))</f>
        <v>1023740.71856346</v>
      </c>
      <c r="Q78" s="18" t="str">
        <f aca="false">IF($A78&gt;PARAMETROS!$C$33,"",IF(P78&lt;=0,"AGOTADO","OK"))</f>
        <v>OK</v>
      </c>
    </row>
    <row r="79" customFormat="false" ht="15" hidden="false" customHeight="false" outlineLevel="0" collapsed="false">
      <c r="A79" s="15" t="n">
        <f aca="false">A78+1</f>
        <v>77</v>
      </c>
      <c r="B79" s="15" t="n">
        <f aca="false">IF($A79="","",ROUNDUP($A79/12,0))</f>
        <v>7</v>
      </c>
      <c r="C79" s="15" t="n">
        <f aca="false">IF($A79="","",PARAMETROS!$C$6+INT(($A79-1)/12))</f>
        <v>71</v>
      </c>
      <c r="D79" s="15" t="n">
        <f aca="false">IF($A79="","",MOD($A79-1,12)+1)</f>
        <v>5</v>
      </c>
      <c r="E79" s="16" t="n">
        <f aca="false">IF($A79&gt;PARAMETROS!$C$33,"",P78)</f>
        <v>1023740.71856346</v>
      </c>
      <c r="F79" s="17" t="n">
        <f aca="false">IF($A79&gt;PARAMETROS!$C$33,"",PARAMETROS!$C$38)</f>
        <v>0.00495440818448101</v>
      </c>
      <c r="G79" s="16" t="n">
        <f aca="false">IF($A79&gt;PARAMETROS!$C$33,"",E79*F79)</f>
        <v>5072.02939483729</v>
      </c>
      <c r="H79" s="16" t="n">
        <f aca="false">IF($A79&gt;PARAMETROS!$C$33,"",E79*PARAMETROS!$C$39)</f>
        <v>764.656433786355</v>
      </c>
      <c r="I79" s="16" t="n">
        <f aca="false">IF($A79&gt;PARAMETROS!$C$33,"",G79-H79)</f>
        <v>4307.37296105094</v>
      </c>
      <c r="J79" s="16" t="n">
        <f aca="false">IF($A79&gt;PARAMETROS!$C$33,"",PARAMETROS!$C$9*(1+PARAMETROS!$C$17)^(B79-1))</f>
        <v>37828.3614127882</v>
      </c>
      <c r="K79" s="16" t="n">
        <f aca="false">IF($A79&gt;PARAMETROS!$C$33,"",K78*(1+PARAMETROS!$C$36))</f>
        <v>33200.0093621052</v>
      </c>
      <c r="L79" s="16" t="n">
        <f aca="false">IF($A79&gt;PARAMETROS!$C$33,"",L78*(1+PARAMETROS!$C$37)*(1+M79))</f>
        <v>10339.3415604698</v>
      </c>
      <c r="M79" s="17" t="n">
        <f aca="false">IF($A79&gt;PARAMETROS!$C$33,"",IF(C79&lt;70,PARAMETROS!$C$40,IF(C79&lt;75,PARAMETROS!$C$41,IF(C79&lt;80,PARAMETROS!$C$42,IF(C79&lt;85,PARAMETROS!$C$43,IF(C79&lt;90,PARAMETROS!$C$44,PARAMETROS!$C$45))))))</f>
        <v>0.00205983626984274</v>
      </c>
      <c r="N79" s="16" t="n">
        <f aca="false">IF($A79&gt;PARAMETROS!$C$33,"",K79+L79)</f>
        <v>43539.350922575</v>
      </c>
      <c r="O79" s="16" t="n">
        <f aca="false">IF($A79&gt;PARAMETROS!$C$33,"",I79+J79-N79)</f>
        <v>-1403.61654873583</v>
      </c>
      <c r="P79" s="16" t="n">
        <f aca="false">IF($A79&gt;PARAMETROS!$C$33,"",MAX(E79+I79+J79-N79,0))</f>
        <v>1022337.10201473</v>
      </c>
      <c r="Q79" s="18" t="str">
        <f aca="false">IF($A79&gt;PARAMETROS!$C$33,"",IF(P79&lt;=0,"AGOTADO","OK"))</f>
        <v>OK</v>
      </c>
    </row>
    <row r="80" customFormat="false" ht="15" hidden="false" customHeight="false" outlineLevel="0" collapsed="false">
      <c r="A80" s="15" t="n">
        <f aca="false">A79+1</f>
        <v>78</v>
      </c>
      <c r="B80" s="15" t="n">
        <f aca="false">IF($A80="","",ROUNDUP($A80/12,0))</f>
        <v>7</v>
      </c>
      <c r="C80" s="15" t="n">
        <f aca="false">IF($A80="","",PARAMETROS!$C$6+INT(($A80-1)/12))</f>
        <v>71</v>
      </c>
      <c r="D80" s="15" t="n">
        <f aca="false">IF($A80="","",MOD($A80-1,12)+1)</f>
        <v>6</v>
      </c>
      <c r="E80" s="16" t="n">
        <f aca="false">IF($A80&gt;PARAMETROS!$C$33,"",P79)</f>
        <v>1022337.10201473</v>
      </c>
      <c r="F80" s="17" t="n">
        <f aca="false">IF($A80&gt;PARAMETROS!$C$33,"",PARAMETROS!$C$38)</f>
        <v>0.00495440818448101</v>
      </c>
      <c r="G80" s="16" t="n">
        <f aca="false">IF($A80&gt;PARAMETROS!$C$33,"",E80*F80)</f>
        <v>5065.07530552037</v>
      </c>
      <c r="H80" s="16" t="n">
        <f aca="false">IF($A80&gt;PARAMETROS!$C$33,"",E80*PARAMETROS!$C$39)</f>
        <v>763.608039007191</v>
      </c>
      <c r="I80" s="16" t="n">
        <f aca="false">IF($A80&gt;PARAMETROS!$C$33,"",G80-H80)</f>
        <v>4301.46726651318</v>
      </c>
      <c r="J80" s="16" t="n">
        <f aca="false">IF($A80&gt;PARAMETROS!$C$33,"",PARAMETROS!$C$9*(1+PARAMETROS!$C$17)^(B80-1))</f>
        <v>37828.3614127882</v>
      </c>
      <c r="K80" s="16" t="n">
        <f aca="false">IF($A80&gt;PARAMETROS!$C$33,"",K79*(1+PARAMETROS!$C$36))</f>
        <v>33313.7643479783</v>
      </c>
      <c r="L80" s="16" t="n">
        <f aca="false">IF($A80&gt;PARAMETROS!$C$33,"",L79*(1+PARAMETROS!$C$37)*(1+M80))</f>
        <v>10401.5275163704</v>
      </c>
      <c r="M80" s="17" t="n">
        <f aca="false">IF($A80&gt;PARAMETROS!$C$33,"",IF(C80&lt;70,PARAMETROS!$C$40,IF(C80&lt;75,PARAMETROS!$C$41,IF(C80&lt;80,PARAMETROS!$C$42,IF(C80&lt;85,PARAMETROS!$C$43,IF(C80&lt;90,PARAMETROS!$C$44,PARAMETROS!$C$45))))))</f>
        <v>0.00205983626984274</v>
      </c>
      <c r="N80" s="16" t="n">
        <f aca="false">IF($A80&gt;PARAMETROS!$C$33,"",K80+L80)</f>
        <v>43715.2918643488</v>
      </c>
      <c r="O80" s="16" t="n">
        <f aca="false">IF($A80&gt;PARAMETROS!$C$33,"",I80+J80-N80)</f>
        <v>-1585.46318504735</v>
      </c>
      <c r="P80" s="16" t="n">
        <f aca="false">IF($A80&gt;PARAMETROS!$C$33,"",MAX(E80+I80+J80-N80,0))</f>
        <v>1020751.63882968</v>
      </c>
      <c r="Q80" s="18" t="str">
        <f aca="false">IF($A80&gt;PARAMETROS!$C$33,"",IF(P80&lt;=0,"AGOTADO","OK"))</f>
        <v>OK</v>
      </c>
    </row>
    <row r="81" customFormat="false" ht="15" hidden="false" customHeight="false" outlineLevel="0" collapsed="false">
      <c r="A81" s="15" t="n">
        <f aca="false">A80+1</f>
        <v>79</v>
      </c>
      <c r="B81" s="15" t="n">
        <f aca="false">IF($A81="","",ROUNDUP($A81/12,0))</f>
        <v>7</v>
      </c>
      <c r="C81" s="15" t="n">
        <f aca="false">IF($A81="","",PARAMETROS!$C$6+INT(($A81-1)/12))</f>
        <v>71</v>
      </c>
      <c r="D81" s="15" t="n">
        <f aca="false">IF($A81="","",MOD($A81-1,12)+1)</f>
        <v>7</v>
      </c>
      <c r="E81" s="16" t="n">
        <f aca="false">IF($A81&gt;PARAMETROS!$C$33,"",P80)</f>
        <v>1020751.63882968</v>
      </c>
      <c r="F81" s="17" t="n">
        <f aca="false">IF($A81&gt;PARAMETROS!$C$33,"",PARAMETROS!$C$38)</f>
        <v>0.00495440818448101</v>
      </c>
      <c r="G81" s="16" t="n">
        <f aca="false">IF($A81&gt;PARAMETROS!$C$33,"",E81*F81)</f>
        <v>5057.22027374017</v>
      </c>
      <c r="H81" s="16" t="n">
        <f aca="false">IF($A81&gt;PARAMETROS!$C$33,"",E81*PARAMETROS!$C$39)</f>
        <v>762.423818625023</v>
      </c>
      <c r="I81" s="16" t="n">
        <f aca="false">IF($A81&gt;PARAMETROS!$C$33,"",G81-H81)</f>
        <v>4294.79645511515</v>
      </c>
      <c r="J81" s="16" t="n">
        <f aca="false">IF($A81&gt;PARAMETROS!$C$33,"",PARAMETROS!$C$9*(1+PARAMETROS!$C$17)^(B81-1))</f>
        <v>37828.3614127882</v>
      </c>
      <c r="K81" s="16" t="n">
        <f aca="false">IF($A81&gt;PARAMETROS!$C$33,"",K80*(1+PARAMETROS!$C$36))</f>
        <v>33427.9090987058</v>
      </c>
      <c r="L81" s="16" t="n">
        <f aca="false">IF($A81&gt;PARAMETROS!$C$33,"",L80*(1+PARAMETROS!$C$37)*(1+M81))</f>
        <v>10464.0874896191</v>
      </c>
      <c r="M81" s="17" t="n">
        <f aca="false">IF($A81&gt;PARAMETROS!$C$33,"",IF(C81&lt;70,PARAMETROS!$C$40,IF(C81&lt;75,PARAMETROS!$C$41,IF(C81&lt;80,PARAMETROS!$C$42,IF(C81&lt;85,PARAMETROS!$C$43,IF(C81&lt;90,PARAMETROS!$C$44,PARAMETROS!$C$45))))))</f>
        <v>0.00205983626984274</v>
      </c>
      <c r="N81" s="16" t="n">
        <f aca="false">IF($A81&gt;PARAMETROS!$C$33,"",K81+L81)</f>
        <v>43891.9965883249</v>
      </c>
      <c r="O81" s="16" t="n">
        <f aca="false">IF($A81&gt;PARAMETROS!$C$33,"",I81+J81-N81)</f>
        <v>-1768.83872042148</v>
      </c>
      <c r="P81" s="16" t="n">
        <f aca="false">IF($A81&gt;PARAMETROS!$C$33,"",MAX(E81+I81+J81-N81,0))</f>
        <v>1018982.80010926</v>
      </c>
      <c r="Q81" s="18" t="str">
        <f aca="false">IF($A81&gt;PARAMETROS!$C$33,"",IF(P81&lt;=0,"AGOTADO","OK"))</f>
        <v>OK</v>
      </c>
    </row>
    <row r="82" customFormat="false" ht="15" hidden="false" customHeight="false" outlineLevel="0" collapsed="false">
      <c r="A82" s="15" t="n">
        <f aca="false">A81+1</f>
        <v>80</v>
      </c>
      <c r="B82" s="15" t="n">
        <f aca="false">IF($A82="","",ROUNDUP($A82/12,0))</f>
        <v>7</v>
      </c>
      <c r="C82" s="15" t="n">
        <f aca="false">IF($A82="","",PARAMETROS!$C$6+INT(($A82-1)/12))</f>
        <v>71</v>
      </c>
      <c r="D82" s="15" t="n">
        <f aca="false">IF($A82="","",MOD($A82-1,12)+1)</f>
        <v>8</v>
      </c>
      <c r="E82" s="16" t="n">
        <f aca="false">IF($A82&gt;PARAMETROS!$C$33,"",P81)</f>
        <v>1018982.80010926</v>
      </c>
      <c r="F82" s="17" t="n">
        <f aca="false">IF($A82&gt;PARAMETROS!$C$33,"",PARAMETROS!$C$38)</f>
        <v>0.00495440818448101</v>
      </c>
      <c r="G82" s="16" t="n">
        <f aca="false">IF($A82&gt;PARAMETROS!$C$33,"",E82*F82)</f>
        <v>5048.45672470669</v>
      </c>
      <c r="H82" s="16" t="n">
        <f aca="false">IF($A82&gt;PARAMETROS!$C$33,"",E82*PARAMETROS!$C$39)</f>
        <v>761.102630668566</v>
      </c>
      <c r="I82" s="16" t="n">
        <f aca="false">IF($A82&gt;PARAMETROS!$C$33,"",G82-H82)</f>
        <v>4287.35409403812</v>
      </c>
      <c r="J82" s="16" t="n">
        <f aca="false">IF($A82&gt;PARAMETROS!$C$33,"",PARAMETROS!$C$9*(1+PARAMETROS!$C$17)^(B82-1))</f>
        <v>37828.3614127882</v>
      </c>
      <c r="K82" s="16" t="n">
        <f aca="false">IF($A82&gt;PARAMETROS!$C$33,"",K81*(1+PARAMETROS!$C$36))</f>
        <v>33542.4449497599</v>
      </c>
      <c r="L82" s="16" t="n">
        <f aca="false">IF($A82&gt;PARAMETROS!$C$33,"",L81*(1+PARAMETROS!$C$37)*(1+M82))</f>
        <v>10527.0237297427</v>
      </c>
      <c r="M82" s="17" t="n">
        <f aca="false">IF($A82&gt;PARAMETROS!$C$33,"",IF(C82&lt;70,PARAMETROS!$C$40,IF(C82&lt;75,PARAMETROS!$C$41,IF(C82&lt;80,PARAMETROS!$C$42,IF(C82&lt;85,PARAMETROS!$C$43,IF(C82&lt;90,PARAMETROS!$C$44,PARAMETROS!$C$45))))))</f>
        <v>0.00205983626984274</v>
      </c>
      <c r="N82" s="16" t="n">
        <f aca="false">IF($A82&gt;PARAMETROS!$C$33,"",K82+L82)</f>
        <v>44069.4686795025</v>
      </c>
      <c r="O82" s="16" t="n">
        <f aca="false">IF($A82&gt;PARAMETROS!$C$33,"",I82+J82-N82)</f>
        <v>-1953.75317267618</v>
      </c>
      <c r="P82" s="16" t="n">
        <f aca="false">IF($A82&gt;PARAMETROS!$C$33,"",MAX(E82+I82+J82-N82,0))</f>
        <v>1017029.04693658</v>
      </c>
      <c r="Q82" s="18" t="str">
        <f aca="false">IF($A82&gt;PARAMETROS!$C$33,"",IF(P82&lt;=0,"AGOTADO","OK"))</f>
        <v>OK</v>
      </c>
    </row>
    <row r="83" customFormat="false" ht="15" hidden="false" customHeight="false" outlineLevel="0" collapsed="false">
      <c r="A83" s="15" t="n">
        <f aca="false">A82+1</f>
        <v>81</v>
      </c>
      <c r="B83" s="15" t="n">
        <f aca="false">IF($A83="","",ROUNDUP($A83/12,0))</f>
        <v>7</v>
      </c>
      <c r="C83" s="15" t="n">
        <f aca="false">IF($A83="","",PARAMETROS!$C$6+INT(($A83-1)/12))</f>
        <v>71</v>
      </c>
      <c r="D83" s="15" t="n">
        <f aca="false">IF($A83="","",MOD($A83-1,12)+1)</f>
        <v>9</v>
      </c>
      <c r="E83" s="16" t="n">
        <f aca="false">IF($A83&gt;PARAMETROS!$C$33,"",P82)</f>
        <v>1017029.04693658</v>
      </c>
      <c r="F83" s="17" t="n">
        <f aca="false">IF($A83&gt;PARAMETROS!$C$33,"",PARAMETROS!$C$38)</f>
        <v>0.00495440818448101</v>
      </c>
      <c r="G83" s="16" t="n">
        <f aca="false">IF($A83&gt;PARAMETROS!$C$33,"",E83*F83)</f>
        <v>5038.77703399753</v>
      </c>
      <c r="H83" s="16" t="n">
        <f aca="false">IF($A83&gt;PARAMETROS!$C$33,"",E83*PARAMETROS!$C$39)</f>
        <v>759.643325683986</v>
      </c>
      <c r="I83" s="16" t="n">
        <f aca="false">IF($A83&gt;PARAMETROS!$C$33,"",G83-H83)</f>
        <v>4279.13370831354</v>
      </c>
      <c r="J83" s="16" t="n">
        <f aca="false">IF($A83&gt;PARAMETROS!$C$33,"",PARAMETROS!$C$9*(1+PARAMETROS!$C$17)^(B83-1))</f>
        <v>37828.3614127882</v>
      </c>
      <c r="K83" s="16" t="n">
        <f aca="false">IF($A83&gt;PARAMETROS!$C$33,"",K82*(1+PARAMETROS!$C$36))</f>
        <v>33657.3732411888</v>
      </c>
      <c r="L83" s="16" t="n">
        <f aca="false">IF($A83&gt;PARAMETROS!$C$33,"",L82*(1+PARAMETROS!$C$37)*(1+M83))</f>
        <v>10590.3384997978</v>
      </c>
      <c r="M83" s="17" t="n">
        <f aca="false">IF($A83&gt;PARAMETROS!$C$33,"",IF(C83&lt;70,PARAMETROS!$C$40,IF(C83&lt;75,PARAMETROS!$C$41,IF(C83&lt;80,PARAMETROS!$C$42,IF(C83&lt;85,PARAMETROS!$C$43,IF(C83&lt;90,PARAMETROS!$C$44,PARAMETROS!$C$45))))))</f>
        <v>0.00205983626984274</v>
      </c>
      <c r="N83" s="16" t="n">
        <f aca="false">IF($A83&gt;PARAMETROS!$C$33,"",K83+L83)</f>
        <v>44247.7117409866</v>
      </c>
      <c r="O83" s="16" t="n">
        <f aca="false">IF($A83&gt;PARAMETROS!$C$33,"",I83+J83-N83)</f>
        <v>-2140.21661988479</v>
      </c>
      <c r="P83" s="16" t="n">
        <f aca="false">IF($A83&gt;PARAMETROS!$C$33,"",MAX(E83+I83+J83-N83,0))</f>
        <v>1014888.8303167</v>
      </c>
      <c r="Q83" s="18" t="str">
        <f aca="false">IF($A83&gt;PARAMETROS!$C$33,"",IF(P83&lt;=0,"AGOTADO","OK"))</f>
        <v>OK</v>
      </c>
    </row>
    <row r="84" customFormat="false" ht="15" hidden="false" customHeight="false" outlineLevel="0" collapsed="false">
      <c r="A84" s="15" t="n">
        <f aca="false">A83+1</f>
        <v>82</v>
      </c>
      <c r="B84" s="15" t="n">
        <f aca="false">IF($A84="","",ROUNDUP($A84/12,0))</f>
        <v>7</v>
      </c>
      <c r="C84" s="15" t="n">
        <f aca="false">IF($A84="","",PARAMETROS!$C$6+INT(($A84-1)/12))</f>
        <v>71</v>
      </c>
      <c r="D84" s="15" t="n">
        <f aca="false">IF($A84="","",MOD($A84-1,12)+1)</f>
        <v>10</v>
      </c>
      <c r="E84" s="16" t="n">
        <f aca="false">IF($A84&gt;PARAMETROS!$C$33,"",P83)</f>
        <v>1014888.8303167</v>
      </c>
      <c r="F84" s="17" t="n">
        <f aca="false">IF($A84&gt;PARAMETROS!$C$33,"",PARAMETROS!$C$38)</f>
        <v>0.00495440818448101</v>
      </c>
      <c r="G84" s="16" t="n">
        <f aca="false">IF($A84&gt;PARAMETROS!$C$33,"",E84*F84)</f>
        <v>5028.17352725941</v>
      </c>
      <c r="H84" s="16" t="n">
        <f aca="false">IF($A84&gt;PARAMETROS!$C$33,"",E84*PARAMETROS!$C$39)</f>
        <v>758.044746689894</v>
      </c>
      <c r="I84" s="16" t="n">
        <f aca="false">IF($A84&gt;PARAMETROS!$C$33,"",G84-H84)</f>
        <v>4270.12878056951</v>
      </c>
      <c r="J84" s="16" t="n">
        <f aca="false">IF($A84&gt;PARAMETROS!$C$33,"",PARAMETROS!$C$9*(1+PARAMETROS!$C$17)^(B84-1))</f>
        <v>37828.3614127882</v>
      </c>
      <c r="K84" s="16" t="n">
        <f aca="false">IF($A84&gt;PARAMETROS!$C$33,"",K83*(1+PARAMETROS!$C$36))</f>
        <v>33772.6953176322</v>
      </c>
      <c r="L84" s="16" t="n">
        <f aca="false">IF($A84&gt;PARAMETROS!$C$33,"",L83*(1+PARAMETROS!$C$37)*(1+M84))</f>
        <v>10654.0340764522</v>
      </c>
      <c r="M84" s="17" t="n">
        <f aca="false">IF($A84&gt;PARAMETROS!$C$33,"",IF(C84&lt;70,PARAMETROS!$C$40,IF(C84&lt;75,PARAMETROS!$C$41,IF(C84&lt;80,PARAMETROS!$C$42,IF(C84&lt;85,PARAMETROS!$C$43,IF(C84&lt;90,PARAMETROS!$C$44,PARAMETROS!$C$45))))))</f>
        <v>0.00205983626984274</v>
      </c>
      <c r="N84" s="16" t="n">
        <f aca="false">IF($A84&gt;PARAMETROS!$C$33,"",K84+L84)</f>
        <v>44426.7293940844</v>
      </c>
      <c r="O84" s="16" t="n">
        <f aca="false">IF($A84&gt;PARAMETROS!$C$33,"",I84+J84-N84)</f>
        <v>-2328.23920072663</v>
      </c>
      <c r="P84" s="16" t="n">
        <f aca="false">IF($A84&gt;PARAMETROS!$C$33,"",MAX(E84+I84+J84-N84,0))</f>
        <v>1012560.59111597</v>
      </c>
      <c r="Q84" s="18" t="str">
        <f aca="false">IF($A84&gt;PARAMETROS!$C$33,"",IF(P84&lt;=0,"AGOTADO","OK"))</f>
        <v>OK</v>
      </c>
    </row>
    <row r="85" customFormat="false" ht="15" hidden="false" customHeight="false" outlineLevel="0" collapsed="false">
      <c r="A85" s="15" t="n">
        <f aca="false">A84+1</f>
        <v>83</v>
      </c>
      <c r="B85" s="15" t="n">
        <f aca="false">IF($A85="","",ROUNDUP($A85/12,0))</f>
        <v>7</v>
      </c>
      <c r="C85" s="15" t="n">
        <f aca="false">IF($A85="","",PARAMETROS!$C$6+INT(($A85-1)/12))</f>
        <v>71</v>
      </c>
      <c r="D85" s="15" t="n">
        <f aca="false">IF($A85="","",MOD($A85-1,12)+1)</f>
        <v>11</v>
      </c>
      <c r="E85" s="16" t="n">
        <f aca="false">IF($A85&gt;PARAMETROS!$C$33,"",P84)</f>
        <v>1012560.59111597</v>
      </c>
      <c r="F85" s="17" t="n">
        <f aca="false">IF($A85&gt;PARAMETROS!$C$33,"",PARAMETROS!$C$38)</f>
        <v>0.00495440818448101</v>
      </c>
      <c r="G85" s="16" t="n">
        <f aca="false">IF($A85&gt;PARAMETROS!$C$33,"",E85*F85)</f>
        <v>5016.6384799079</v>
      </c>
      <c r="H85" s="16" t="n">
        <f aca="false">IF($A85&gt;PARAMETROS!$C$33,"",E85*PARAMETROS!$C$39)</f>
        <v>756.305729132082</v>
      </c>
      <c r="I85" s="16" t="n">
        <f aca="false">IF($A85&gt;PARAMETROS!$C$33,"",G85-H85)</f>
        <v>4260.33275077582</v>
      </c>
      <c r="J85" s="16" t="n">
        <f aca="false">IF($A85&gt;PARAMETROS!$C$33,"",PARAMETROS!$C$9*(1+PARAMETROS!$C$17)^(B85-1))</f>
        <v>37828.3614127882</v>
      </c>
      <c r="K85" s="16" t="n">
        <f aca="false">IF($A85&gt;PARAMETROS!$C$33,"",K84*(1+PARAMETROS!$C$36))</f>
        <v>33888.412528337</v>
      </c>
      <c r="L85" s="16" t="n">
        <f aca="false">IF($A85&gt;PARAMETROS!$C$33,"",L84*(1+PARAMETROS!$C$37)*(1+M85))</f>
        <v>10718.1127500666</v>
      </c>
      <c r="M85" s="17" t="n">
        <f aca="false">IF($A85&gt;PARAMETROS!$C$33,"",IF(C85&lt;70,PARAMETROS!$C$40,IF(C85&lt;75,PARAMETROS!$C$41,IF(C85&lt;80,PARAMETROS!$C$42,IF(C85&lt;85,PARAMETROS!$C$43,IF(C85&lt;90,PARAMETROS!$C$44,PARAMETROS!$C$45))))))</f>
        <v>0.00205983626984274</v>
      </c>
      <c r="N85" s="16" t="n">
        <f aca="false">IF($A85&gt;PARAMETROS!$C$33,"",K85+L85)</f>
        <v>44606.5252784036</v>
      </c>
      <c r="O85" s="16" t="n">
        <f aca="false">IF($A85&gt;PARAMETROS!$C$33,"",I85+J85-N85)</f>
        <v>-2517.83111483958</v>
      </c>
      <c r="P85" s="16" t="n">
        <f aca="false">IF($A85&gt;PARAMETROS!$C$33,"",MAX(E85+I85+J85-N85,0))</f>
        <v>1010042.76000113</v>
      </c>
      <c r="Q85" s="18" t="str">
        <f aca="false">IF($A85&gt;PARAMETROS!$C$33,"",IF(P85&lt;=0,"AGOTADO","OK"))</f>
        <v>OK</v>
      </c>
    </row>
    <row r="86" customFormat="false" ht="15" hidden="false" customHeight="false" outlineLevel="0" collapsed="false">
      <c r="A86" s="15" t="n">
        <f aca="false">A85+1</f>
        <v>84</v>
      </c>
      <c r="B86" s="15" t="n">
        <f aca="false">IF($A86="","",ROUNDUP($A86/12,0))</f>
        <v>7</v>
      </c>
      <c r="C86" s="15" t="n">
        <f aca="false">IF($A86="","",PARAMETROS!$C$6+INT(($A86-1)/12))</f>
        <v>71</v>
      </c>
      <c r="D86" s="15" t="n">
        <f aca="false">IF($A86="","",MOD($A86-1,12)+1)</f>
        <v>12</v>
      </c>
      <c r="E86" s="16" t="n">
        <f aca="false">IF($A86&gt;PARAMETROS!$C$33,"",P85)</f>
        <v>1010042.76000113</v>
      </c>
      <c r="F86" s="17" t="n">
        <f aca="false">IF($A86&gt;PARAMETROS!$C$33,"",PARAMETROS!$C$38)</f>
        <v>0.00495440818448101</v>
      </c>
      <c r="G86" s="16" t="n">
        <f aca="false">IF($A86&gt;PARAMETROS!$C$33,"",E86*F86)</f>
        <v>5004.1641168254</v>
      </c>
      <c r="H86" s="16" t="n">
        <f aca="false">IF($A86&gt;PARAMETROS!$C$33,"",E86*PARAMETROS!$C$39)</f>
        <v>754.425100837985</v>
      </c>
      <c r="I86" s="16" t="n">
        <f aca="false">IF($A86&gt;PARAMETROS!$C$33,"",G86-H86)</f>
        <v>4249.73901598741</v>
      </c>
      <c r="J86" s="16" t="n">
        <f aca="false">IF($A86&gt;PARAMETROS!$C$33,"",PARAMETROS!$C$9*(1+PARAMETROS!$C$17)^(B86-1))</f>
        <v>37828.3614127882</v>
      </c>
      <c r="K86" s="16" t="n">
        <f aca="false">IF($A86&gt;PARAMETROS!$C$33,"",K85*(1+PARAMETROS!$C$36))</f>
        <v>34004.526227173</v>
      </c>
      <c r="L86" s="16" t="n">
        <f aca="false">IF($A86&gt;PARAMETROS!$C$33,"",L85*(1+PARAMETROS!$C$37)*(1+M86))</f>
        <v>10782.5768247773</v>
      </c>
      <c r="M86" s="17" t="n">
        <f aca="false">IF($A86&gt;PARAMETROS!$C$33,"",IF(C86&lt;70,PARAMETROS!$C$40,IF(C86&lt;75,PARAMETROS!$C$41,IF(C86&lt;80,PARAMETROS!$C$42,IF(C86&lt;85,PARAMETROS!$C$43,IF(C86&lt;90,PARAMETROS!$C$44,PARAMETROS!$C$45))))))</f>
        <v>0.00205983626984274</v>
      </c>
      <c r="N86" s="16" t="n">
        <f aca="false">IF($A86&gt;PARAMETROS!$C$33,"",K86+L86)</f>
        <v>44787.1030519503</v>
      </c>
      <c r="O86" s="16" t="n">
        <f aca="false">IF($A86&gt;PARAMETROS!$C$33,"",I86+J86-N86)</f>
        <v>-2709.00262317468</v>
      </c>
      <c r="P86" s="16" t="n">
        <f aca="false">IF($A86&gt;PARAMETROS!$C$33,"",MAX(E86+I86+J86-N86,0))</f>
        <v>1007333.75737796</v>
      </c>
      <c r="Q86" s="18" t="str">
        <f aca="false">IF($A86&gt;PARAMETROS!$C$33,"",IF(P86&lt;=0,"AGOTADO","OK"))</f>
        <v>OK</v>
      </c>
    </row>
    <row r="87" customFormat="false" ht="15" hidden="false" customHeight="false" outlineLevel="0" collapsed="false">
      <c r="A87" s="19" t="n">
        <f aca="false">A86+1</f>
        <v>85</v>
      </c>
      <c r="B87" s="19" t="n">
        <f aca="false">IF($A87="","",ROUNDUP($A87/12,0))</f>
        <v>8</v>
      </c>
      <c r="C87" s="19" t="n">
        <f aca="false">IF($A87="","",PARAMETROS!$C$6+INT(($A87-1)/12))</f>
        <v>72</v>
      </c>
      <c r="D87" s="19" t="n">
        <f aca="false">IF($A87="","",MOD($A87-1,12)+1)</f>
        <v>1</v>
      </c>
      <c r="E87" s="20" t="n">
        <f aca="false">IF($A87&gt;PARAMETROS!$C$33,"",P86)</f>
        <v>1007333.75737796</v>
      </c>
      <c r="F87" s="21" t="n">
        <f aca="false">IF($A87&gt;PARAMETROS!$C$33,"",PARAMETROS!$C$38)</f>
        <v>0.00495440818448101</v>
      </c>
      <c r="G87" s="20" t="n">
        <f aca="false">IF($A87&gt;PARAMETROS!$C$33,"",E87*F87)</f>
        <v>4990.74261205736</v>
      </c>
      <c r="H87" s="20" t="n">
        <f aca="false">IF($A87&gt;PARAMETROS!$C$33,"",E87*PARAMETROS!$C$39)</f>
        <v>752.40168197089</v>
      </c>
      <c r="I87" s="20" t="n">
        <f aca="false">IF($A87&gt;PARAMETROS!$C$33,"",G87-H87)</f>
        <v>4238.34093008647</v>
      </c>
      <c r="J87" s="20" t="n">
        <f aca="false">IF($A87&gt;PARAMETROS!$C$33,"",PARAMETROS!$C$9*(1+PARAMETROS!$C$17)^(B87-1))</f>
        <v>39318.7988524521</v>
      </c>
      <c r="K87" s="20" t="n">
        <f aca="false">IF($A87&gt;PARAMETROS!$C$33,"",K86*(1+PARAMETROS!$C$36))</f>
        <v>34121.037772649</v>
      </c>
      <c r="L87" s="20" t="n">
        <f aca="false">IF($A87&gt;PARAMETROS!$C$33,"",L86*(1+PARAMETROS!$C$37)*(1+M87))</f>
        <v>10847.4286185786</v>
      </c>
      <c r="M87" s="21" t="n">
        <f aca="false">IF($A87&gt;PARAMETROS!$C$33,"",IF(C87&lt;70,PARAMETROS!$C$40,IF(C87&lt;75,PARAMETROS!$C$41,IF(C87&lt;80,PARAMETROS!$C$42,IF(C87&lt;85,PARAMETROS!$C$43,IF(C87&lt;90,PARAMETROS!$C$44,PARAMETROS!$C$45))))))</f>
        <v>0.00205983626984274</v>
      </c>
      <c r="N87" s="20" t="n">
        <f aca="false">IF($A87&gt;PARAMETROS!$C$33,"",K87+L87)</f>
        <v>44968.4663912276</v>
      </c>
      <c r="O87" s="20" t="n">
        <f aca="false">IF($A87&gt;PARAMETROS!$C$33,"",I87+J87-N87)</f>
        <v>-1411.326608689</v>
      </c>
      <c r="P87" s="20" t="n">
        <f aca="false">IF($A87&gt;PARAMETROS!$C$33,"",MAX(E87+I87+J87-N87,0))</f>
        <v>1005922.43076927</v>
      </c>
      <c r="Q87" s="22" t="str">
        <f aca="false">IF($A87&gt;PARAMETROS!$C$33,"",IF(P87&lt;=0,"AGOTADO","OK"))</f>
        <v>OK</v>
      </c>
    </row>
    <row r="88" customFormat="false" ht="15" hidden="false" customHeight="false" outlineLevel="0" collapsed="false">
      <c r="A88" s="19" t="n">
        <f aca="false">A87+1</f>
        <v>86</v>
      </c>
      <c r="B88" s="19" t="n">
        <f aca="false">IF($A88="","",ROUNDUP($A88/12,0))</f>
        <v>8</v>
      </c>
      <c r="C88" s="19" t="n">
        <f aca="false">IF($A88="","",PARAMETROS!$C$6+INT(($A88-1)/12))</f>
        <v>72</v>
      </c>
      <c r="D88" s="19" t="n">
        <f aca="false">IF($A88="","",MOD($A88-1,12)+1)</f>
        <v>2</v>
      </c>
      <c r="E88" s="20" t="n">
        <f aca="false">IF($A88&gt;PARAMETROS!$C$33,"",P87)</f>
        <v>1005922.43076927</v>
      </c>
      <c r="F88" s="21" t="n">
        <f aca="false">IF($A88&gt;PARAMETROS!$C$33,"",PARAMETROS!$C$38)</f>
        <v>0.00495440818448101</v>
      </c>
      <c r="G88" s="20" t="n">
        <f aca="false">IF($A88&gt;PARAMETROS!$C$33,"",E88*F88)</f>
        <v>4983.75032395629</v>
      </c>
      <c r="H88" s="20" t="n">
        <f aca="false">IF($A88&gt;PARAMETROS!$C$33,"",E88*PARAMETROS!$C$39)</f>
        <v>751.347528363498</v>
      </c>
      <c r="I88" s="20" t="n">
        <f aca="false">IF($A88&gt;PARAMETROS!$C$33,"",G88-H88)</f>
        <v>4232.40279559279</v>
      </c>
      <c r="J88" s="20" t="n">
        <f aca="false">IF($A88&gt;PARAMETROS!$C$33,"",PARAMETROS!$C$9*(1+PARAMETROS!$C$17)^(B88-1))</f>
        <v>39318.7988524521</v>
      </c>
      <c r="K88" s="20" t="n">
        <f aca="false">IF($A88&gt;PARAMETROS!$C$33,"",K87*(1+PARAMETROS!$C$36))</f>
        <v>34237.9485279284</v>
      </c>
      <c r="L88" s="20" t="n">
        <f aca="false">IF($A88&gt;PARAMETROS!$C$33,"",L87*(1+PARAMETROS!$C$37)*(1+M88))</f>
        <v>10912.6704634063</v>
      </c>
      <c r="M88" s="21" t="n">
        <f aca="false">IF($A88&gt;PARAMETROS!$C$33,"",IF(C88&lt;70,PARAMETROS!$C$40,IF(C88&lt;75,PARAMETROS!$C$41,IF(C88&lt;80,PARAMETROS!$C$42,IF(C88&lt;85,PARAMETROS!$C$43,IF(C88&lt;90,PARAMETROS!$C$44,PARAMETROS!$C$45))))))</f>
        <v>0.00205983626984274</v>
      </c>
      <c r="N88" s="20" t="n">
        <f aca="false">IF($A88&gt;PARAMETROS!$C$33,"",K88+L88)</f>
        <v>45150.6189913347</v>
      </c>
      <c r="O88" s="20" t="n">
        <f aca="false">IF($A88&gt;PARAMETROS!$C$33,"",I88+J88-N88)</f>
        <v>-1599.41734328982</v>
      </c>
      <c r="P88" s="20" t="n">
        <f aca="false">IF($A88&gt;PARAMETROS!$C$33,"",MAX(E88+I88+J88-N88,0))</f>
        <v>1004323.01342598</v>
      </c>
      <c r="Q88" s="22" t="str">
        <f aca="false">IF($A88&gt;PARAMETROS!$C$33,"",IF(P88&lt;=0,"AGOTADO","OK"))</f>
        <v>OK</v>
      </c>
    </row>
    <row r="89" customFormat="false" ht="15" hidden="false" customHeight="false" outlineLevel="0" collapsed="false">
      <c r="A89" s="19" t="n">
        <f aca="false">A88+1</f>
        <v>87</v>
      </c>
      <c r="B89" s="19" t="n">
        <f aca="false">IF($A89="","",ROUNDUP($A89/12,0))</f>
        <v>8</v>
      </c>
      <c r="C89" s="19" t="n">
        <f aca="false">IF($A89="","",PARAMETROS!$C$6+INT(($A89-1)/12))</f>
        <v>72</v>
      </c>
      <c r="D89" s="19" t="n">
        <f aca="false">IF($A89="","",MOD($A89-1,12)+1)</f>
        <v>3</v>
      </c>
      <c r="E89" s="20" t="n">
        <f aca="false">IF($A89&gt;PARAMETROS!$C$33,"",P88)</f>
        <v>1004323.01342598</v>
      </c>
      <c r="F89" s="21" t="n">
        <f aca="false">IF($A89&gt;PARAMETROS!$C$33,"",PARAMETROS!$C$38)</f>
        <v>0.00495440818448101</v>
      </c>
      <c r="G89" s="20" t="n">
        <f aca="false">IF($A89&gt;PARAMETROS!$C$33,"",E89*F89)</f>
        <v>4975.8261575803</v>
      </c>
      <c r="H89" s="20" t="n">
        <f aca="false">IF($A89&gt;PARAMETROS!$C$33,"",E89*PARAMETROS!$C$39)</f>
        <v>750.152885286712</v>
      </c>
      <c r="I89" s="20" t="n">
        <f aca="false">IF($A89&gt;PARAMETROS!$C$33,"",G89-H89)</f>
        <v>4225.67327229359</v>
      </c>
      <c r="J89" s="20" t="n">
        <f aca="false">IF($A89&gt;PARAMETROS!$C$33,"",PARAMETROS!$C$9*(1+PARAMETROS!$C$17)^(B89-1))</f>
        <v>39318.7988524521</v>
      </c>
      <c r="K89" s="20" t="n">
        <f aca="false">IF($A89&gt;PARAMETROS!$C$33,"",K88*(1+PARAMETROS!$C$36))</f>
        <v>34355.2598608452</v>
      </c>
      <c r="L89" s="20" t="n">
        <f aca="false">IF($A89&gt;PARAMETROS!$C$33,"",L88*(1+PARAMETROS!$C$37)*(1+M89))</f>
        <v>10978.3047052221</v>
      </c>
      <c r="M89" s="21" t="n">
        <f aca="false">IF($A89&gt;PARAMETROS!$C$33,"",IF(C89&lt;70,PARAMETROS!$C$40,IF(C89&lt;75,PARAMETROS!$C$41,IF(C89&lt;80,PARAMETROS!$C$42,IF(C89&lt;85,PARAMETROS!$C$43,IF(C89&lt;90,PARAMETROS!$C$44,PARAMETROS!$C$45))))))</f>
        <v>0.00205983626984274</v>
      </c>
      <c r="N89" s="20" t="n">
        <f aca="false">IF($A89&gt;PARAMETROS!$C$33,"",K89+L89)</f>
        <v>45333.5645660673</v>
      </c>
      <c r="O89" s="20" t="n">
        <f aca="false">IF($A89&gt;PARAMETROS!$C$33,"",I89+J89-N89)</f>
        <v>-1789.09244132159</v>
      </c>
      <c r="P89" s="20" t="n">
        <f aca="false">IF($A89&gt;PARAMETROS!$C$33,"",MAX(E89+I89+J89-N89,0))</f>
        <v>1002533.92098466</v>
      </c>
      <c r="Q89" s="22" t="str">
        <f aca="false">IF($A89&gt;PARAMETROS!$C$33,"",IF(P89&lt;=0,"AGOTADO","OK"))</f>
        <v>OK</v>
      </c>
    </row>
    <row r="90" customFormat="false" ht="15" hidden="false" customHeight="false" outlineLevel="0" collapsed="false">
      <c r="A90" s="19" t="n">
        <f aca="false">A89+1</f>
        <v>88</v>
      </c>
      <c r="B90" s="19" t="n">
        <f aca="false">IF($A90="","",ROUNDUP($A90/12,0))</f>
        <v>8</v>
      </c>
      <c r="C90" s="19" t="n">
        <f aca="false">IF($A90="","",PARAMETROS!$C$6+INT(($A90-1)/12))</f>
        <v>72</v>
      </c>
      <c r="D90" s="19" t="n">
        <f aca="false">IF($A90="","",MOD($A90-1,12)+1)</f>
        <v>4</v>
      </c>
      <c r="E90" s="20" t="n">
        <f aca="false">IF($A90&gt;PARAMETROS!$C$33,"",P89)</f>
        <v>1002533.92098466</v>
      </c>
      <c r="F90" s="21" t="n">
        <f aca="false">IF($A90&gt;PARAMETROS!$C$33,"",PARAMETROS!$C$38)</f>
        <v>0.00495440818448101</v>
      </c>
      <c r="G90" s="20" t="n">
        <f aca="false">IF($A90&gt;PARAMETROS!$C$33,"",E90*F90)</f>
        <v>4966.96226334622</v>
      </c>
      <c r="H90" s="20" t="n">
        <f aca="false">IF($A90&gt;PARAMETROS!$C$33,"",E90*PARAMETROS!$C$39)</f>
        <v>748.816569341582</v>
      </c>
      <c r="I90" s="20" t="n">
        <f aca="false">IF($A90&gt;PARAMETROS!$C$33,"",G90-H90)</f>
        <v>4218.14569400464</v>
      </c>
      <c r="J90" s="20" t="n">
        <f aca="false">IF($A90&gt;PARAMETROS!$C$33,"",PARAMETROS!$C$9*(1+PARAMETROS!$C$17)^(B90-1))</f>
        <v>39318.7988524521</v>
      </c>
      <c r="K90" s="20" t="n">
        <f aca="false">IF($A90&gt;PARAMETROS!$C$33,"",K89*(1+PARAMETROS!$C$36))</f>
        <v>34472.9731439204</v>
      </c>
      <c r="L90" s="20" t="n">
        <f aca="false">IF($A90&gt;PARAMETROS!$C$33,"",L89*(1+PARAMETROS!$C$37)*(1+M90))</f>
        <v>11044.3337040968</v>
      </c>
      <c r="M90" s="21" t="n">
        <f aca="false">IF($A90&gt;PARAMETROS!$C$33,"",IF(C90&lt;70,PARAMETROS!$C$40,IF(C90&lt;75,PARAMETROS!$C$41,IF(C90&lt;80,PARAMETROS!$C$42,IF(C90&lt;85,PARAMETROS!$C$43,IF(C90&lt;90,PARAMETROS!$C$44,PARAMETROS!$C$45))))))</f>
        <v>0.00205983626984274</v>
      </c>
      <c r="N90" s="20" t="n">
        <f aca="false">IF($A90&gt;PARAMETROS!$C$33,"",K90+L90)</f>
        <v>45517.3068480172</v>
      </c>
      <c r="O90" s="20" t="n">
        <f aca="false">IF($A90&gt;PARAMETROS!$C$33,"",I90+J90-N90)</f>
        <v>-1980.36230156046</v>
      </c>
      <c r="P90" s="20" t="n">
        <f aca="false">IF($A90&gt;PARAMETROS!$C$33,"",MAX(E90+I90+J90-N90,0))</f>
        <v>1000553.5586831</v>
      </c>
      <c r="Q90" s="22" t="str">
        <f aca="false">IF($A90&gt;PARAMETROS!$C$33,"",IF(P90&lt;=0,"AGOTADO","OK"))</f>
        <v>OK</v>
      </c>
    </row>
    <row r="91" customFormat="false" ht="15" hidden="false" customHeight="false" outlineLevel="0" collapsed="false">
      <c r="A91" s="19" t="n">
        <f aca="false">A90+1</f>
        <v>89</v>
      </c>
      <c r="B91" s="19" t="n">
        <f aca="false">IF($A91="","",ROUNDUP($A91/12,0))</f>
        <v>8</v>
      </c>
      <c r="C91" s="19" t="n">
        <f aca="false">IF($A91="","",PARAMETROS!$C$6+INT(($A91-1)/12))</f>
        <v>72</v>
      </c>
      <c r="D91" s="19" t="n">
        <f aca="false">IF($A91="","",MOD($A91-1,12)+1)</f>
        <v>5</v>
      </c>
      <c r="E91" s="20" t="n">
        <f aca="false">IF($A91&gt;PARAMETROS!$C$33,"",P90)</f>
        <v>1000553.5586831</v>
      </c>
      <c r="F91" s="21" t="n">
        <f aca="false">IF($A91&gt;PARAMETROS!$C$33,"",PARAMETROS!$C$38)</f>
        <v>0.00495440818448101</v>
      </c>
      <c r="G91" s="20" t="n">
        <f aca="false">IF($A91&gt;PARAMETROS!$C$33,"",E91*F91)</f>
        <v>4957.15074015113</v>
      </c>
      <c r="H91" s="20" t="n">
        <f aca="false">IF($A91&gt;PARAMETROS!$C$33,"",E91*PARAMETROS!$C$39)</f>
        <v>747.337389362064</v>
      </c>
      <c r="I91" s="20" t="n">
        <f aca="false">IF($A91&gt;PARAMETROS!$C$33,"",G91-H91)</f>
        <v>4209.81335078907</v>
      </c>
      <c r="J91" s="20" t="n">
        <f aca="false">IF($A91&gt;PARAMETROS!$C$33,"",PARAMETROS!$C$9*(1+PARAMETROS!$C$17)^(B91-1))</f>
        <v>39318.7988524521</v>
      </c>
      <c r="K91" s="20" t="n">
        <f aca="false">IF($A91&gt;PARAMETROS!$C$33,"",K90*(1+PARAMETROS!$C$36))</f>
        <v>34591.0897543774</v>
      </c>
      <c r="L91" s="20" t="n">
        <f aca="false">IF($A91&gt;PARAMETROS!$C$33,"",L90*(1+PARAMETROS!$C$37)*(1+M91))</f>
        <v>11110.7598342965</v>
      </c>
      <c r="M91" s="21" t="n">
        <f aca="false">IF($A91&gt;PARAMETROS!$C$33,"",IF(C91&lt;70,PARAMETROS!$C$40,IF(C91&lt;75,PARAMETROS!$C$41,IF(C91&lt;80,PARAMETROS!$C$42,IF(C91&lt;85,PARAMETROS!$C$43,IF(C91&lt;90,PARAMETROS!$C$44,PARAMETROS!$C$45))))))</f>
        <v>0.00205983626984274</v>
      </c>
      <c r="N91" s="20" t="n">
        <f aca="false">IF($A91&gt;PARAMETROS!$C$33,"",K91+L91)</f>
        <v>45701.8495886738</v>
      </c>
      <c r="O91" s="20" t="n">
        <f aca="false">IF($A91&gt;PARAMETROS!$C$33,"",I91+J91-N91)</f>
        <v>-2173.23738543269</v>
      </c>
      <c r="P91" s="20" t="n">
        <f aca="false">IF($A91&gt;PARAMETROS!$C$33,"",MAX(E91+I91+J91-N91,0))</f>
        <v>998380.321297664</v>
      </c>
      <c r="Q91" s="22" t="str">
        <f aca="false">IF($A91&gt;PARAMETROS!$C$33,"",IF(P91&lt;=0,"AGOTADO","OK"))</f>
        <v>OK</v>
      </c>
    </row>
    <row r="92" customFormat="false" ht="15" hidden="false" customHeight="false" outlineLevel="0" collapsed="false">
      <c r="A92" s="19" t="n">
        <f aca="false">A91+1</f>
        <v>90</v>
      </c>
      <c r="B92" s="19" t="n">
        <f aca="false">IF($A92="","",ROUNDUP($A92/12,0))</f>
        <v>8</v>
      </c>
      <c r="C92" s="19" t="n">
        <f aca="false">IF($A92="","",PARAMETROS!$C$6+INT(($A92-1)/12))</f>
        <v>72</v>
      </c>
      <c r="D92" s="19" t="n">
        <f aca="false">IF($A92="","",MOD($A92-1,12)+1)</f>
        <v>6</v>
      </c>
      <c r="E92" s="20" t="n">
        <f aca="false">IF($A92&gt;PARAMETROS!$C$33,"",P91)</f>
        <v>998380.321297664</v>
      </c>
      <c r="F92" s="21" t="n">
        <f aca="false">IF($A92&gt;PARAMETROS!$C$33,"",PARAMETROS!$C$38)</f>
        <v>0.00495440818448101</v>
      </c>
      <c r="G92" s="20" t="n">
        <f aca="false">IF($A92&gt;PARAMETROS!$C$33,"",E92*F92)</f>
        <v>4946.38363506192</v>
      </c>
      <c r="H92" s="20" t="n">
        <f aca="false">IF($A92&gt;PARAMETROS!$C$33,"",E92*PARAMETROS!$C$39)</f>
        <v>745.714146368225</v>
      </c>
      <c r="I92" s="20" t="n">
        <f aca="false">IF($A92&gt;PARAMETROS!$C$33,"",G92-H92)</f>
        <v>4200.6694886937</v>
      </c>
      <c r="J92" s="20" t="n">
        <f aca="false">IF($A92&gt;PARAMETROS!$C$33,"",PARAMETROS!$C$9*(1+PARAMETROS!$C$17)^(B92-1))</f>
        <v>39318.7988524521</v>
      </c>
      <c r="K92" s="20" t="n">
        <f aca="false">IF($A92&gt;PARAMETROS!$C$33,"",K91*(1+PARAMETROS!$C$36))</f>
        <v>34709.6110741586</v>
      </c>
      <c r="L92" s="20" t="n">
        <f aca="false">IF($A92&gt;PARAMETROS!$C$33,"",L91*(1+PARAMETROS!$C$37)*(1+M92))</f>
        <v>11177.5854843668</v>
      </c>
      <c r="M92" s="21" t="n">
        <f aca="false">IF($A92&gt;PARAMETROS!$C$33,"",IF(C92&lt;70,PARAMETROS!$C$40,IF(C92&lt;75,PARAMETROS!$C$41,IF(C92&lt;80,PARAMETROS!$C$42,IF(C92&lt;85,PARAMETROS!$C$43,IF(C92&lt;90,PARAMETROS!$C$44,PARAMETROS!$C$45))))))</f>
        <v>0.00205983626984274</v>
      </c>
      <c r="N92" s="20" t="n">
        <f aca="false">IF($A92&gt;PARAMETROS!$C$33,"",K92+L92)</f>
        <v>45887.1965585254</v>
      </c>
      <c r="O92" s="20" t="n">
        <f aca="false">IF($A92&gt;PARAMETROS!$C$33,"",I92+J92-N92)</f>
        <v>-2367.72821737964</v>
      </c>
      <c r="P92" s="20" t="n">
        <f aca="false">IF($A92&gt;PARAMETROS!$C$33,"",MAX(E92+I92+J92-N92,0))</f>
        <v>996012.593080284</v>
      </c>
      <c r="Q92" s="22" t="str">
        <f aca="false">IF($A92&gt;PARAMETROS!$C$33,"",IF(P92&lt;=0,"AGOTADO","OK"))</f>
        <v>OK</v>
      </c>
    </row>
    <row r="93" customFormat="false" ht="15" hidden="false" customHeight="false" outlineLevel="0" collapsed="false">
      <c r="A93" s="19" t="n">
        <f aca="false">A92+1</f>
        <v>91</v>
      </c>
      <c r="B93" s="19" t="n">
        <f aca="false">IF($A93="","",ROUNDUP($A93/12,0))</f>
        <v>8</v>
      </c>
      <c r="C93" s="19" t="n">
        <f aca="false">IF($A93="","",PARAMETROS!$C$6+INT(($A93-1)/12))</f>
        <v>72</v>
      </c>
      <c r="D93" s="19" t="n">
        <f aca="false">IF($A93="","",MOD($A93-1,12)+1)</f>
        <v>7</v>
      </c>
      <c r="E93" s="20" t="n">
        <f aca="false">IF($A93&gt;PARAMETROS!$C$33,"",P92)</f>
        <v>996012.593080284</v>
      </c>
      <c r="F93" s="21" t="n">
        <f aca="false">IF($A93&gt;PARAMETROS!$C$33,"",PARAMETROS!$C$38)</f>
        <v>0.00495440818448101</v>
      </c>
      <c r="G93" s="20" t="n">
        <f aca="false">IF($A93&gt;PARAMETROS!$C$33,"",E93*F93)</f>
        <v>4934.65294300311</v>
      </c>
      <c r="H93" s="20" t="n">
        <f aca="false">IF($A93&gt;PARAMETROS!$C$33,"",E93*PARAMETROS!$C$39)</f>
        <v>743.945633519173</v>
      </c>
      <c r="I93" s="20" t="n">
        <f aca="false">IF($A93&gt;PARAMETROS!$C$33,"",G93-H93)</f>
        <v>4190.70730948394</v>
      </c>
      <c r="J93" s="20" t="n">
        <f aca="false">IF($A93&gt;PARAMETROS!$C$33,"",PARAMETROS!$C$9*(1+PARAMETROS!$C$17)^(B93-1))</f>
        <v>39318.7988524521</v>
      </c>
      <c r="K93" s="20" t="n">
        <f aca="false">IF($A93&gt;PARAMETROS!$C$33,"",K92*(1+PARAMETROS!$C$36))</f>
        <v>34828.5384899415</v>
      </c>
      <c r="L93" s="20" t="n">
        <f aca="false">IF($A93&gt;PARAMETROS!$C$33,"",L92*(1+PARAMETROS!$C$37)*(1+M93))</f>
        <v>11244.8130572196</v>
      </c>
      <c r="M93" s="21" t="n">
        <f aca="false">IF($A93&gt;PARAMETROS!$C$33,"",IF(C93&lt;70,PARAMETROS!$C$40,IF(C93&lt;75,PARAMETROS!$C$41,IF(C93&lt;80,PARAMETROS!$C$42,IF(C93&lt;85,PARAMETROS!$C$43,IF(C93&lt;90,PARAMETROS!$C$44,PARAMETROS!$C$45))))))</f>
        <v>0.00205983626984274</v>
      </c>
      <c r="N93" s="20" t="n">
        <f aca="false">IF($A93&gt;PARAMETROS!$C$33,"",K93+L93)</f>
        <v>46073.3515471611</v>
      </c>
      <c r="O93" s="20" t="n">
        <f aca="false">IF($A93&gt;PARAMETROS!$C$33,"",I93+J93-N93)</f>
        <v>-2563.84538522508</v>
      </c>
      <c r="P93" s="20" t="n">
        <f aca="false">IF($A93&gt;PARAMETROS!$C$33,"",MAX(E93+I93+J93-N93,0))</f>
        <v>993448.747695059</v>
      </c>
      <c r="Q93" s="22" t="str">
        <f aca="false">IF($A93&gt;PARAMETROS!$C$33,"",IF(P93&lt;=0,"AGOTADO","OK"))</f>
        <v>OK</v>
      </c>
    </row>
    <row r="94" customFormat="false" ht="15" hidden="false" customHeight="false" outlineLevel="0" collapsed="false">
      <c r="A94" s="19" t="n">
        <f aca="false">A93+1</f>
        <v>92</v>
      </c>
      <c r="B94" s="19" t="n">
        <f aca="false">IF($A94="","",ROUNDUP($A94/12,0))</f>
        <v>8</v>
      </c>
      <c r="C94" s="19" t="n">
        <f aca="false">IF($A94="","",PARAMETROS!$C$6+INT(($A94-1)/12))</f>
        <v>72</v>
      </c>
      <c r="D94" s="19" t="n">
        <f aca="false">IF($A94="","",MOD($A94-1,12)+1)</f>
        <v>8</v>
      </c>
      <c r="E94" s="20" t="n">
        <f aca="false">IF($A94&gt;PARAMETROS!$C$33,"",P93)</f>
        <v>993448.747695059</v>
      </c>
      <c r="F94" s="21" t="n">
        <f aca="false">IF($A94&gt;PARAMETROS!$C$33,"",PARAMETROS!$C$38)</f>
        <v>0.00495440818448101</v>
      </c>
      <c r="G94" s="20" t="n">
        <f aca="false">IF($A94&gt;PARAMETROS!$C$33,"",E94*F94)</f>
        <v>4921.95060644281</v>
      </c>
      <c r="H94" s="20" t="n">
        <f aca="false">IF($A94&gt;PARAMETROS!$C$33,"",E94*PARAMETROS!$C$39)</f>
        <v>742.03063606572</v>
      </c>
      <c r="I94" s="20" t="n">
        <f aca="false">IF($A94&gt;PARAMETROS!$C$33,"",G94-H94)</f>
        <v>4179.91997037709</v>
      </c>
      <c r="J94" s="20" t="n">
        <f aca="false">IF($A94&gt;PARAMETROS!$C$33,"",PARAMETROS!$C$9*(1+PARAMETROS!$C$17)^(B94-1))</f>
        <v>39318.7988524521</v>
      </c>
      <c r="K94" s="20" t="n">
        <f aca="false">IF($A94&gt;PARAMETROS!$C$33,"",K93*(1+PARAMETROS!$C$36))</f>
        <v>34947.8733931548</v>
      </c>
      <c r="L94" s="20" t="n">
        <f aca="false">IF($A94&gt;PARAMETROS!$C$33,"",L93*(1+PARAMETROS!$C$37)*(1+M94))</f>
        <v>11312.4449702188</v>
      </c>
      <c r="M94" s="21" t="n">
        <f aca="false">IF($A94&gt;PARAMETROS!$C$33,"",IF(C94&lt;70,PARAMETROS!$C$40,IF(C94&lt;75,PARAMETROS!$C$41,IF(C94&lt;80,PARAMETROS!$C$42,IF(C94&lt;85,PARAMETROS!$C$43,IF(C94&lt;90,PARAMETROS!$C$44,PARAMETROS!$C$45))))))</f>
        <v>0.00205983626984274</v>
      </c>
      <c r="N94" s="20" t="n">
        <f aca="false">IF($A94&gt;PARAMETROS!$C$33,"",K94+L94)</f>
        <v>46260.3183633736</v>
      </c>
      <c r="O94" s="20" t="n">
        <f aca="false">IF($A94&gt;PARAMETROS!$C$33,"",I94+J94-N94)</f>
        <v>-2761.59954054438</v>
      </c>
      <c r="P94" s="20" t="n">
        <f aca="false">IF($A94&gt;PARAMETROS!$C$33,"",MAX(E94+I94+J94-N94,0))</f>
        <v>990687.148154515</v>
      </c>
      <c r="Q94" s="22" t="str">
        <f aca="false">IF($A94&gt;PARAMETROS!$C$33,"",IF(P94&lt;=0,"AGOTADO","OK"))</f>
        <v>OK</v>
      </c>
    </row>
    <row r="95" customFormat="false" ht="15" hidden="false" customHeight="false" outlineLevel="0" collapsed="false">
      <c r="A95" s="19" t="n">
        <f aca="false">A94+1</f>
        <v>93</v>
      </c>
      <c r="B95" s="19" t="n">
        <f aca="false">IF($A95="","",ROUNDUP($A95/12,0))</f>
        <v>8</v>
      </c>
      <c r="C95" s="19" t="n">
        <f aca="false">IF($A95="","",PARAMETROS!$C$6+INT(($A95-1)/12))</f>
        <v>72</v>
      </c>
      <c r="D95" s="19" t="n">
        <f aca="false">IF($A95="","",MOD($A95-1,12)+1)</f>
        <v>9</v>
      </c>
      <c r="E95" s="20" t="n">
        <f aca="false">IF($A95&gt;PARAMETROS!$C$33,"",P94)</f>
        <v>990687.148154515</v>
      </c>
      <c r="F95" s="21" t="n">
        <f aca="false">IF($A95&gt;PARAMETROS!$C$33,"",PARAMETROS!$C$38)</f>
        <v>0.00495440818448101</v>
      </c>
      <c r="G95" s="20" t="n">
        <f aca="false">IF($A95&gt;PARAMETROS!$C$33,"",E95*F95)</f>
        <v>4908.26851507688</v>
      </c>
      <c r="H95" s="20" t="n">
        <f aca="false">IF($A95&gt;PARAMETROS!$C$33,"",E95*PARAMETROS!$C$39)</f>
        <v>739.967931302758</v>
      </c>
      <c r="I95" s="20" t="n">
        <f aca="false">IF($A95&gt;PARAMETROS!$C$33,"",G95-H95)</f>
        <v>4168.30058377412</v>
      </c>
      <c r="J95" s="20" t="n">
        <f aca="false">IF($A95&gt;PARAMETROS!$C$33,"",PARAMETROS!$C$9*(1+PARAMETROS!$C$17)^(B95-1))</f>
        <v>39318.7988524521</v>
      </c>
      <c r="K95" s="20" t="n">
        <f aca="false">IF($A95&gt;PARAMETROS!$C$33,"",K94*(1+PARAMETROS!$C$36))</f>
        <v>35067.6171799946</v>
      </c>
      <c r="L95" s="20" t="n">
        <f aca="false">IF($A95&gt;PARAMETROS!$C$33,"",L94*(1+PARAMETROS!$C$37)*(1+M95))</f>
        <v>11380.4836552677</v>
      </c>
      <c r="M95" s="21" t="n">
        <f aca="false">IF($A95&gt;PARAMETROS!$C$33,"",IF(C95&lt;70,PARAMETROS!$C$40,IF(C95&lt;75,PARAMETROS!$C$41,IF(C95&lt;80,PARAMETROS!$C$42,IF(C95&lt;85,PARAMETROS!$C$43,IF(C95&lt;90,PARAMETROS!$C$44,PARAMETROS!$C$45))))))</f>
        <v>0.00205983626984274</v>
      </c>
      <c r="N95" s="20" t="n">
        <f aca="false">IF($A95&gt;PARAMETROS!$C$33,"",K95+L95)</f>
        <v>46448.1008352623</v>
      </c>
      <c r="O95" s="20" t="n">
        <f aca="false">IF($A95&gt;PARAMETROS!$C$33,"",I95+J95-N95)</f>
        <v>-2961.00139903608</v>
      </c>
      <c r="P95" s="20" t="n">
        <f aca="false">IF($A95&gt;PARAMETROS!$C$33,"",MAX(E95+I95+J95-N95,0))</f>
        <v>987726.146755479</v>
      </c>
      <c r="Q95" s="22" t="str">
        <f aca="false">IF($A95&gt;PARAMETROS!$C$33,"",IF(P95&lt;=0,"AGOTADO","OK"))</f>
        <v>OK</v>
      </c>
    </row>
    <row r="96" customFormat="false" ht="15" hidden="false" customHeight="false" outlineLevel="0" collapsed="false">
      <c r="A96" s="19" t="n">
        <f aca="false">A95+1</f>
        <v>94</v>
      </c>
      <c r="B96" s="19" t="n">
        <f aca="false">IF($A96="","",ROUNDUP($A96/12,0))</f>
        <v>8</v>
      </c>
      <c r="C96" s="19" t="n">
        <f aca="false">IF($A96="","",PARAMETROS!$C$6+INT(($A96-1)/12))</f>
        <v>72</v>
      </c>
      <c r="D96" s="19" t="n">
        <f aca="false">IF($A96="","",MOD($A96-1,12)+1)</f>
        <v>10</v>
      </c>
      <c r="E96" s="20" t="n">
        <f aca="false">IF($A96&gt;PARAMETROS!$C$33,"",P95)</f>
        <v>987726.146755479</v>
      </c>
      <c r="F96" s="21" t="n">
        <f aca="false">IF($A96&gt;PARAMETROS!$C$33,"",PARAMETROS!$C$38)</f>
        <v>0.00495440818448101</v>
      </c>
      <c r="G96" s="20" t="n">
        <f aca="false">IF($A96&gt;PARAMETROS!$C$33,"",E96*F96)</f>
        <v>4893.59850551123</v>
      </c>
      <c r="H96" s="20" t="n">
        <f aca="false">IF($A96&gt;PARAMETROS!$C$33,"",E96*PARAMETROS!$C$39)</f>
        <v>737.75628852137</v>
      </c>
      <c r="I96" s="20" t="n">
        <f aca="false">IF($A96&gt;PARAMETROS!$C$33,"",G96-H96)</f>
        <v>4155.84221698986</v>
      </c>
      <c r="J96" s="20" t="n">
        <f aca="false">IF($A96&gt;PARAMETROS!$C$33,"",PARAMETROS!$C$9*(1+PARAMETROS!$C$17)^(B96-1))</f>
        <v>39318.7988524521</v>
      </c>
      <c r="K96" s="20" t="n">
        <f aca="false">IF($A96&gt;PARAMETROS!$C$33,"",K95*(1+PARAMETROS!$C$36))</f>
        <v>35187.771251441</v>
      </c>
      <c r="L96" s="20" t="n">
        <f aca="false">IF($A96&gt;PARAMETROS!$C$33,"",L95*(1+PARAMETROS!$C$37)*(1+M96))</f>
        <v>11448.9315588963</v>
      </c>
      <c r="M96" s="21" t="n">
        <f aca="false">IF($A96&gt;PARAMETROS!$C$33,"",IF(C96&lt;70,PARAMETROS!$C$40,IF(C96&lt;75,PARAMETROS!$C$41,IF(C96&lt;80,PARAMETROS!$C$42,IF(C96&lt;85,PARAMETROS!$C$43,IF(C96&lt;90,PARAMETROS!$C$44,PARAMETROS!$C$45))))))</f>
        <v>0.00205983626984274</v>
      </c>
      <c r="N96" s="20" t="n">
        <f aca="false">IF($A96&gt;PARAMETROS!$C$33,"",K96+L96)</f>
        <v>46636.7028103373</v>
      </c>
      <c r="O96" s="20" t="n">
        <f aca="false">IF($A96&gt;PARAMETROS!$C$33,"",I96+J96-N96)</f>
        <v>-3162.0617408953</v>
      </c>
      <c r="P96" s="20" t="n">
        <f aca="false">IF($A96&gt;PARAMETROS!$C$33,"",MAX(E96+I96+J96-N96,0))</f>
        <v>984564.085014583</v>
      </c>
      <c r="Q96" s="22" t="str">
        <f aca="false">IF($A96&gt;PARAMETROS!$C$33,"",IF(P96&lt;=0,"AGOTADO","OK"))</f>
        <v>OK</v>
      </c>
    </row>
    <row r="97" customFormat="false" ht="15" hidden="false" customHeight="false" outlineLevel="0" collapsed="false">
      <c r="A97" s="19" t="n">
        <f aca="false">A96+1</f>
        <v>95</v>
      </c>
      <c r="B97" s="19" t="n">
        <f aca="false">IF($A97="","",ROUNDUP($A97/12,0))</f>
        <v>8</v>
      </c>
      <c r="C97" s="19" t="n">
        <f aca="false">IF($A97="","",PARAMETROS!$C$6+INT(($A97-1)/12))</f>
        <v>72</v>
      </c>
      <c r="D97" s="19" t="n">
        <f aca="false">IF($A97="","",MOD($A97-1,12)+1)</f>
        <v>11</v>
      </c>
      <c r="E97" s="20" t="n">
        <f aca="false">IF($A97&gt;PARAMETROS!$C$33,"",P96)</f>
        <v>984564.085014583</v>
      </c>
      <c r="F97" s="21" t="n">
        <f aca="false">IF($A97&gt;PARAMETROS!$C$33,"",PARAMETROS!$C$38)</f>
        <v>0.00495440818448101</v>
      </c>
      <c r="G97" s="20" t="n">
        <f aca="false">IF($A97&gt;PARAMETROS!$C$33,"",E97*F97)</f>
        <v>4877.93236094231</v>
      </c>
      <c r="H97" s="20" t="n">
        <f aca="false">IF($A97&gt;PARAMETROS!$C$33,"",E97*PARAMETROS!$C$39)</f>
        <v>735.394468960654</v>
      </c>
      <c r="I97" s="20" t="n">
        <f aca="false">IF($A97&gt;PARAMETROS!$C$33,"",G97-H97)</f>
        <v>4142.53789198165</v>
      </c>
      <c r="J97" s="20" t="n">
        <f aca="false">IF($A97&gt;PARAMETROS!$C$33,"",PARAMETROS!$C$9*(1+PARAMETROS!$C$17)^(B97-1))</f>
        <v>39318.7988524521</v>
      </c>
      <c r="K97" s="20" t="n">
        <f aca="false">IF($A97&gt;PARAMETROS!$C$33,"",K96*(1+PARAMETROS!$C$36))</f>
        <v>35308.3370132743</v>
      </c>
      <c r="L97" s="20" t="n">
        <f aca="false">IF($A97&gt;PARAMETROS!$C$33,"",L96*(1+PARAMETROS!$C$37)*(1+M97))</f>
        <v>11517.7911423491</v>
      </c>
      <c r="M97" s="21" t="n">
        <f aca="false">IF($A97&gt;PARAMETROS!$C$33,"",IF(C97&lt;70,PARAMETROS!$C$40,IF(C97&lt;75,PARAMETROS!$C$41,IF(C97&lt;80,PARAMETROS!$C$42,IF(C97&lt;85,PARAMETROS!$C$43,IF(C97&lt;90,PARAMETROS!$C$44,PARAMETROS!$C$45))))))</f>
        <v>0.00205983626984274</v>
      </c>
      <c r="N97" s="20" t="n">
        <f aca="false">IF($A97&gt;PARAMETROS!$C$33,"",K97+L97)</f>
        <v>46826.1281556234</v>
      </c>
      <c r="O97" s="20" t="n">
        <f aca="false">IF($A97&gt;PARAMETROS!$C$33,"",I97+J97-N97)</f>
        <v>-3364.79141118966</v>
      </c>
      <c r="P97" s="20" t="n">
        <f aca="false">IF($A97&gt;PARAMETROS!$C$33,"",MAX(E97+I97+J97-N97,0))</f>
        <v>981199.293603394</v>
      </c>
      <c r="Q97" s="22" t="str">
        <f aca="false">IF($A97&gt;PARAMETROS!$C$33,"",IF(P97&lt;=0,"AGOTADO","OK"))</f>
        <v>OK</v>
      </c>
    </row>
    <row r="98" customFormat="false" ht="15" hidden="false" customHeight="false" outlineLevel="0" collapsed="false">
      <c r="A98" s="19" t="n">
        <f aca="false">A97+1</f>
        <v>96</v>
      </c>
      <c r="B98" s="19" t="n">
        <f aca="false">IF($A98="","",ROUNDUP($A98/12,0))</f>
        <v>8</v>
      </c>
      <c r="C98" s="19" t="n">
        <f aca="false">IF($A98="","",PARAMETROS!$C$6+INT(($A98-1)/12))</f>
        <v>72</v>
      </c>
      <c r="D98" s="19" t="n">
        <f aca="false">IF($A98="","",MOD($A98-1,12)+1)</f>
        <v>12</v>
      </c>
      <c r="E98" s="20" t="n">
        <f aca="false">IF($A98&gt;PARAMETROS!$C$33,"",P97)</f>
        <v>981199.293603394</v>
      </c>
      <c r="F98" s="21" t="n">
        <f aca="false">IF($A98&gt;PARAMETROS!$C$33,"",PARAMETROS!$C$38)</f>
        <v>0.00495440818448101</v>
      </c>
      <c r="G98" s="20" t="n">
        <f aca="false">IF($A98&gt;PARAMETROS!$C$33,"",E98*F98)</f>
        <v>4861.26181083564</v>
      </c>
      <c r="H98" s="20" t="n">
        <f aca="false">IF($A98&gt;PARAMETROS!$C$33,"",E98*PARAMETROS!$C$39)</f>
        <v>732.881225759264</v>
      </c>
      <c r="I98" s="20" t="n">
        <f aca="false">IF($A98&gt;PARAMETROS!$C$33,"",G98-H98)</f>
        <v>4128.38058507637</v>
      </c>
      <c r="J98" s="20" t="n">
        <f aca="false">IF($A98&gt;PARAMETROS!$C$33,"",PARAMETROS!$C$9*(1+PARAMETROS!$C$17)^(B98-1))</f>
        <v>39318.7988524521</v>
      </c>
      <c r="K98" s="20" t="n">
        <f aca="false">IF($A98&gt;PARAMETROS!$C$33,"",K97*(1+PARAMETROS!$C$36))</f>
        <v>35429.3158760916</v>
      </c>
      <c r="L98" s="20" t="n">
        <f aca="false">IF($A98&gt;PARAMETROS!$C$33,"",L97*(1+PARAMETROS!$C$37)*(1+M98))</f>
        <v>11587.0648816739</v>
      </c>
      <c r="M98" s="21" t="n">
        <f aca="false">IF($A98&gt;PARAMETROS!$C$33,"",IF(C98&lt;70,PARAMETROS!$C$40,IF(C98&lt;75,PARAMETROS!$C$41,IF(C98&lt;80,PARAMETROS!$C$42,IF(C98&lt;85,PARAMETROS!$C$43,IF(C98&lt;90,PARAMETROS!$C$44,PARAMETROS!$C$45))))))</f>
        <v>0.00205983626984274</v>
      </c>
      <c r="N98" s="20" t="n">
        <f aca="false">IF($A98&gt;PARAMETROS!$C$33,"",K98+L98)</f>
        <v>47016.3807577655</v>
      </c>
      <c r="O98" s="20" t="n">
        <f aca="false">IF($A98&gt;PARAMETROS!$C$33,"",I98+J98-N98)</f>
        <v>-3569.20132023703</v>
      </c>
      <c r="P98" s="20" t="n">
        <f aca="false">IF($A98&gt;PARAMETROS!$C$33,"",MAX(E98+I98+J98-N98,0))</f>
        <v>977630.092283157</v>
      </c>
      <c r="Q98" s="22" t="str">
        <f aca="false">IF($A98&gt;PARAMETROS!$C$33,"",IF(P98&lt;=0,"AGOTADO","OK"))</f>
        <v>OK</v>
      </c>
    </row>
    <row r="99" customFormat="false" ht="15" hidden="false" customHeight="false" outlineLevel="0" collapsed="false">
      <c r="A99" s="15" t="n">
        <f aca="false">A98+1</f>
        <v>97</v>
      </c>
      <c r="B99" s="15" t="n">
        <f aca="false">IF($A99="","",ROUNDUP($A99/12,0))</f>
        <v>9</v>
      </c>
      <c r="C99" s="15" t="n">
        <f aca="false">IF($A99="","",PARAMETROS!$C$6+INT(($A99-1)/12))</f>
        <v>73</v>
      </c>
      <c r="D99" s="15" t="n">
        <f aca="false">IF($A99="","",MOD($A99-1,12)+1)</f>
        <v>1</v>
      </c>
      <c r="E99" s="16" t="n">
        <f aca="false">IF($A99&gt;PARAMETROS!$C$33,"",P98)</f>
        <v>977630.092283157</v>
      </c>
      <c r="F99" s="17" t="n">
        <f aca="false">IF($A99&gt;PARAMETROS!$C$33,"",PARAMETROS!$C$38)</f>
        <v>0.00495440818448101</v>
      </c>
      <c r="G99" s="16" t="n">
        <f aca="false">IF($A99&gt;PARAMETROS!$C$33,"",E99*F99)</f>
        <v>4843.57853060259</v>
      </c>
      <c r="H99" s="16" t="n">
        <f aca="false">IF($A99&gt;PARAMETROS!$C$33,"",E99*PARAMETROS!$C$39)</f>
        <v>730.21530390668</v>
      </c>
      <c r="I99" s="16" t="n">
        <f aca="false">IF($A99&gt;PARAMETROS!$C$33,"",G99-H99)</f>
        <v>4113.36322669591</v>
      </c>
      <c r="J99" s="16" t="n">
        <f aca="false">IF($A99&gt;PARAMETROS!$C$33,"",PARAMETROS!$C$9*(1+PARAMETROS!$C$17)^(B99-1))</f>
        <v>40867.9595272387</v>
      </c>
      <c r="K99" s="16" t="n">
        <f aca="false">IF($A99&gt;PARAMETROS!$C$33,"",K98*(1+PARAMETROS!$C$36))</f>
        <v>35550.709255323</v>
      </c>
      <c r="L99" s="16" t="n">
        <f aca="false">IF($A99&gt;PARAMETROS!$C$33,"",L98*(1+PARAMETROS!$C$37)*(1+M99))</f>
        <v>11656.7552678107</v>
      </c>
      <c r="M99" s="17" t="n">
        <f aca="false">IF($A99&gt;PARAMETROS!$C$33,"",IF(C99&lt;70,PARAMETROS!$C$40,IF(C99&lt;75,PARAMETROS!$C$41,IF(C99&lt;80,PARAMETROS!$C$42,IF(C99&lt;85,PARAMETROS!$C$43,IF(C99&lt;90,PARAMETROS!$C$44,PARAMETROS!$C$45))))))</f>
        <v>0.00205983626984274</v>
      </c>
      <c r="N99" s="16" t="n">
        <f aca="false">IF($A99&gt;PARAMETROS!$C$33,"",K99+L99)</f>
        <v>47207.4645231337</v>
      </c>
      <c r="O99" s="16" t="n">
        <f aca="false">IF($A99&gt;PARAMETROS!$C$33,"",I99+J99-N99)</f>
        <v>-2226.14176919906</v>
      </c>
      <c r="P99" s="16" t="n">
        <f aca="false">IF($A99&gt;PARAMETROS!$C$33,"",MAX(E99+I99+J99-N99,0))</f>
        <v>975403.950513957</v>
      </c>
      <c r="Q99" s="18" t="str">
        <f aca="false">IF($A99&gt;PARAMETROS!$C$33,"",IF(P99&lt;=0,"AGOTADO","OK"))</f>
        <v>OK</v>
      </c>
    </row>
    <row r="100" customFormat="false" ht="15" hidden="false" customHeight="false" outlineLevel="0" collapsed="false">
      <c r="A100" s="15" t="n">
        <f aca="false">A99+1</f>
        <v>98</v>
      </c>
      <c r="B100" s="15" t="n">
        <f aca="false">IF($A100="","",ROUNDUP($A100/12,0))</f>
        <v>9</v>
      </c>
      <c r="C100" s="15" t="n">
        <f aca="false">IF($A100="","",PARAMETROS!$C$6+INT(($A100-1)/12))</f>
        <v>73</v>
      </c>
      <c r="D100" s="15" t="n">
        <f aca="false">IF($A100="","",MOD($A100-1,12)+1)</f>
        <v>2</v>
      </c>
      <c r="E100" s="16" t="n">
        <f aca="false">IF($A100&gt;PARAMETROS!$C$33,"",P99)</f>
        <v>975403.950513957</v>
      </c>
      <c r="F100" s="17" t="n">
        <f aca="false">IF($A100&gt;PARAMETROS!$C$33,"",PARAMETROS!$C$38)</f>
        <v>0.00495440818448101</v>
      </c>
      <c r="G100" s="16" t="n">
        <f aca="false">IF($A100&gt;PARAMETROS!$C$33,"",E100*F100)</f>
        <v>4832.54931560146</v>
      </c>
      <c r="H100" s="16" t="n">
        <f aca="false">IF($A100&gt;PARAMETROS!$C$33,"",E100*PARAMETROS!$C$39)</f>
        <v>728.552545362967</v>
      </c>
      <c r="I100" s="16" t="n">
        <f aca="false">IF($A100&gt;PARAMETROS!$C$33,"",G100-H100)</f>
        <v>4103.99677023849</v>
      </c>
      <c r="J100" s="16" t="n">
        <f aca="false">IF($A100&gt;PARAMETROS!$C$33,"",PARAMETROS!$C$9*(1+PARAMETROS!$C$17)^(B100-1))</f>
        <v>40867.9595272387</v>
      </c>
      <c r="K100" s="16" t="n">
        <f aca="false">IF($A100&gt;PARAMETROS!$C$33,"",K99*(1+PARAMETROS!$C$36))</f>
        <v>35672.5185712486</v>
      </c>
      <c r="L100" s="16" t="n">
        <f aca="false">IF($A100&gt;PARAMETROS!$C$33,"",L99*(1+PARAMETROS!$C$37)*(1+M100))</f>
        <v>11726.8648066811</v>
      </c>
      <c r="M100" s="17" t="n">
        <f aca="false">IF($A100&gt;PARAMETROS!$C$33,"",IF(C100&lt;70,PARAMETROS!$C$40,IF(C100&lt;75,PARAMETROS!$C$41,IF(C100&lt;80,PARAMETROS!$C$42,IF(C100&lt;85,PARAMETROS!$C$43,IF(C100&lt;90,PARAMETROS!$C$44,PARAMETROS!$C$45))))))</f>
        <v>0.00205983626984274</v>
      </c>
      <c r="N100" s="16" t="n">
        <f aca="false">IF($A100&gt;PARAMETROS!$C$33,"",K100+L100)</f>
        <v>47399.3833779296</v>
      </c>
      <c r="O100" s="16" t="n">
        <f aca="false">IF($A100&gt;PARAMETROS!$C$33,"",I100+J100-N100)</f>
        <v>-2427.42708045244</v>
      </c>
      <c r="P100" s="16" t="n">
        <f aca="false">IF($A100&gt;PARAMETROS!$C$33,"",MAX(E100+I100+J100-N100,0))</f>
        <v>972976.523433505</v>
      </c>
      <c r="Q100" s="18" t="str">
        <f aca="false">IF($A100&gt;PARAMETROS!$C$33,"",IF(P100&lt;=0,"AGOTADO","OK"))</f>
        <v>OK</v>
      </c>
    </row>
    <row r="101" customFormat="false" ht="15" hidden="false" customHeight="false" outlineLevel="0" collapsed="false">
      <c r="A101" s="15" t="n">
        <f aca="false">A100+1</f>
        <v>99</v>
      </c>
      <c r="B101" s="15" t="n">
        <f aca="false">IF($A101="","",ROUNDUP($A101/12,0))</f>
        <v>9</v>
      </c>
      <c r="C101" s="15" t="n">
        <f aca="false">IF($A101="","",PARAMETROS!$C$6+INT(($A101-1)/12))</f>
        <v>73</v>
      </c>
      <c r="D101" s="15" t="n">
        <f aca="false">IF($A101="","",MOD($A101-1,12)+1)</f>
        <v>3</v>
      </c>
      <c r="E101" s="16" t="n">
        <f aca="false">IF($A101&gt;PARAMETROS!$C$33,"",P100)</f>
        <v>972976.523433505</v>
      </c>
      <c r="F101" s="17" t="n">
        <f aca="false">IF($A101&gt;PARAMETROS!$C$33,"",PARAMETROS!$C$38)</f>
        <v>0.00495440818448101</v>
      </c>
      <c r="G101" s="16" t="n">
        <f aca="false">IF($A101&gt;PARAMETROS!$C$33,"",E101*F101)</f>
        <v>4820.52285100683</v>
      </c>
      <c r="H101" s="16" t="n">
        <f aca="false">IF($A101&gt;PARAMETROS!$C$33,"",E101*PARAMETROS!$C$39)</f>
        <v>726.739442004902</v>
      </c>
      <c r="I101" s="16" t="n">
        <f aca="false">IF($A101&gt;PARAMETROS!$C$33,"",G101-H101)</f>
        <v>4093.78340900193</v>
      </c>
      <c r="J101" s="16" t="n">
        <f aca="false">IF($A101&gt;PARAMETROS!$C$33,"",PARAMETROS!$C$9*(1+PARAMETROS!$C$17)^(B101-1))</f>
        <v>40867.9595272387</v>
      </c>
      <c r="K101" s="16" t="n">
        <f aca="false">IF($A101&gt;PARAMETROS!$C$33,"",K100*(1+PARAMETROS!$C$36))</f>
        <v>35794.7452490146</v>
      </c>
      <c r="L101" s="16" t="n">
        <f aca="false">IF($A101&gt;PARAMETROS!$C$33,"",L100*(1+PARAMETROS!$C$37)*(1+M101))</f>
        <v>11797.3960192787</v>
      </c>
      <c r="M101" s="17" t="n">
        <f aca="false">IF($A101&gt;PARAMETROS!$C$33,"",IF(C101&lt;70,PARAMETROS!$C$40,IF(C101&lt;75,PARAMETROS!$C$41,IF(C101&lt;80,PARAMETROS!$C$42,IF(C101&lt;85,PARAMETROS!$C$43,IF(C101&lt;90,PARAMETROS!$C$44,PARAMETROS!$C$45))))))</f>
        <v>0.00205983626984274</v>
      </c>
      <c r="N101" s="16" t="n">
        <f aca="false">IF($A101&gt;PARAMETROS!$C$33,"",K101+L101)</f>
        <v>47592.1412682933</v>
      </c>
      <c r="O101" s="16" t="n">
        <f aca="false">IF($A101&gt;PARAMETROS!$C$33,"",I101+J101-N101)</f>
        <v>-2630.39833205265</v>
      </c>
      <c r="P101" s="16" t="n">
        <f aca="false">IF($A101&gt;PARAMETROS!$C$33,"",MAX(E101+I101+J101-N101,0))</f>
        <v>970346.125101452</v>
      </c>
      <c r="Q101" s="18" t="str">
        <f aca="false">IF($A101&gt;PARAMETROS!$C$33,"",IF(P101&lt;=0,"AGOTADO","OK"))</f>
        <v>OK</v>
      </c>
    </row>
    <row r="102" customFormat="false" ht="15" hidden="false" customHeight="false" outlineLevel="0" collapsed="false">
      <c r="A102" s="15" t="n">
        <f aca="false">A101+1</f>
        <v>100</v>
      </c>
      <c r="B102" s="15" t="n">
        <f aca="false">IF($A102="","",ROUNDUP($A102/12,0))</f>
        <v>9</v>
      </c>
      <c r="C102" s="15" t="n">
        <f aca="false">IF($A102="","",PARAMETROS!$C$6+INT(($A102-1)/12))</f>
        <v>73</v>
      </c>
      <c r="D102" s="15" t="n">
        <f aca="false">IF($A102="","",MOD($A102-1,12)+1)</f>
        <v>4</v>
      </c>
      <c r="E102" s="16" t="n">
        <f aca="false">IF($A102&gt;PARAMETROS!$C$33,"",P101)</f>
        <v>970346.125101452</v>
      </c>
      <c r="F102" s="17" t="n">
        <f aca="false">IF($A102&gt;PARAMETROS!$C$33,"",PARAMETROS!$C$38)</f>
        <v>0.00495440818448101</v>
      </c>
      <c r="G102" s="16" t="n">
        <f aca="false">IF($A102&gt;PARAMETROS!$C$33,"",E102*F102)</f>
        <v>4807.49078398207</v>
      </c>
      <c r="H102" s="16" t="n">
        <f aca="false">IF($A102&gt;PARAMETROS!$C$33,"",E102*PARAMETROS!$C$39)</f>
        <v>724.774734563308</v>
      </c>
      <c r="I102" s="16" t="n">
        <f aca="false">IF($A102&gt;PARAMETROS!$C$33,"",G102-H102)</f>
        <v>4082.71604941876</v>
      </c>
      <c r="J102" s="16" t="n">
        <f aca="false">IF($A102&gt;PARAMETROS!$C$33,"",PARAMETROS!$C$9*(1+PARAMETROS!$C$17)^(B102-1))</f>
        <v>40867.9595272387</v>
      </c>
      <c r="K102" s="16" t="n">
        <f aca="false">IF($A102&gt;PARAMETROS!$C$33,"",K101*(1+PARAMETROS!$C$36))</f>
        <v>35917.3907186506</v>
      </c>
      <c r="L102" s="16" t="n">
        <f aca="false">IF($A102&gt;PARAMETROS!$C$33,"",L101*(1+PARAMETROS!$C$37)*(1+M102))</f>
        <v>11868.3514417595</v>
      </c>
      <c r="M102" s="17" t="n">
        <f aca="false">IF($A102&gt;PARAMETROS!$C$33,"",IF(C102&lt;70,PARAMETROS!$C$40,IF(C102&lt;75,PARAMETROS!$C$41,IF(C102&lt;80,PARAMETROS!$C$42,IF(C102&lt;85,PARAMETROS!$C$43,IF(C102&lt;90,PARAMETROS!$C$44,PARAMETROS!$C$45))))))</f>
        <v>0.00205983626984274</v>
      </c>
      <c r="N102" s="16" t="n">
        <f aca="false">IF($A102&gt;PARAMETROS!$C$33,"",K102+L102)</f>
        <v>47785.7421604101</v>
      </c>
      <c r="O102" s="16" t="n">
        <f aca="false">IF($A102&gt;PARAMETROS!$C$33,"",I102+J102-N102)</f>
        <v>-2835.06658375265</v>
      </c>
      <c r="P102" s="16" t="n">
        <f aca="false">IF($A102&gt;PARAMETROS!$C$33,"",MAX(E102+I102+J102-N102,0))</f>
        <v>967511.0585177</v>
      </c>
      <c r="Q102" s="18" t="str">
        <f aca="false">IF($A102&gt;PARAMETROS!$C$33,"",IF(P102&lt;=0,"AGOTADO","OK"))</f>
        <v>OK</v>
      </c>
    </row>
    <row r="103" customFormat="false" ht="15" hidden="false" customHeight="false" outlineLevel="0" collapsed="false">
      <c r="A103" s="15" t="n">
        <f aca="false">A102+1</f>
        <v>101</v>
      </c>
      <c r="B103" s="15" t="n">
        <f aca="false">IF($A103="","",ROUNDUP($A103/12,0))</f>
        <v>9</v>
      </c>
      <c r="C103" s="15" t="n">
        <f aca="false">IF($A103="","",PARAMETROS!$C$6+INT(($A103-1)/12))</f>
        <v>73</v>
      </c>
      <c r="D103" s="15" t="n">
        <f aca="false">IF($A103="","",MOD($A103-1,12)+1)</f>
        <v>5</v>
      </c>
      <c r="E103" s="16" t="n">
        <f aca="false">IF($A103&gt;PARAMETROS!$C$33,"",P102)</f>
        <v>967511.0585177</v>
      </c>
      <c r="F103" s="17" t="n">
        <f aca="false">IF($A103&gt;PARAMETROS!$C$33,"",PARAMETROS!$C$38)</f>
        <v>0.00495440818448101</v>
      </c>
      <c r="G103" s="16" t="n">
        <f aca="false">IF($A103&gt;PARAMETROS!$C$33,"",E103*F103)</f>
        <v>4793.44470689597</v>
      </c>
      <c r="H103" s="16" t="n">
        <f aca="false">IF($A103&gt;PARAMETROS!$C$33,"",E103*PARAMETROS!$C$39)</f>
        <v>722.657155508212</v>
      </c>
      <c r="I103" s="16" t="n">
        <f aca="false">IF($A103&gt;PARAMETROS!$C$33,"",G103-H103)</f>
        <v>4070.78755138776</v>
      </c>
      <c r="J103" s="16" t="n">
        <f aca="false">IF($A103&gt;PARAMETROS!$C$33,"",PARAMETROS!$C$9*(1+PARAMETROS!$C$17)^(B103-1))</f>
        <v>40867.9595272387</v>
      </c>
      <c r="K103" s="16" t="n">
        <f aca="false">IF($A103&gt;PARAMETROS!$C$33,"",K102*(1+PARAMETROS!$C$36))</f>
        <v>36040.4564150858</v>
      </c>
      <c r="L103" s="16" t="n">
        <f aca="false">IF($A103&gt;PARAMETROS!$C$33,"",L102*(1+PARAMETROS!$C$37)*(1+M103))</f>
        <v>11939.7336255333</v>
      </c>
      <c r="M103" s="17" t="n">
        <f aca="false">IF($A103&gt;PARAMETROS!$C$33,"",IF(C103&lt;70,PARAMETROS!$C$40,IF(C103&lt;75,PARAMETROS!$C$41,IF(C103&lt;80,PARAMETROS!$C$42,IF(C103&lt;85,PARAMETROS!$C$43,IF(C103&lt;90,PARAMETROS!$C$44,PARAMETROS!$C$45))))))</f>
        <v>0.00205983626984274</v>
      </c>
      <c r="N103" s="16" t="n">
        <f aca="false">IF($A103&gt;PARAMETROS!$C$33,"",K103+L103)</f>
        <v>47980.1900406191</v>
      </c>
      <c r="O103" s="16" t="n">
        <f aca="false">IF($A103&gt;PARAMETROS!$C$33,"",I103+J103-N103)</f>
        <v>-3041.44296199264</v>
      </c>
      <c r="P103" s="16" t="n">
        <f aca="false">IF($A103&gt;PARAMETROS!$C$33,"",MAX(E103+I103+J103-N103,0))</f>
        <v>964469.615555707</v>
      </c>
      <c r="Q103" s="18" t="str">
        <f aca="false">IF($A103&gt;PARAMETROS!$C$33,"",IF(P103&lt;=0,"AGOTADO","OK"))</f>
        <v>OK</v>
      </c>
    </row>
    <row r="104" customFormat="false" ht="15" hidden="false" customHeight="false" outlineLevel="0" collapsed="false">
      <c r="A104" s="15" t="n">
        <f aca="false">A103+1</f>
        <v>102</v>
      </c>
      <c r="B104" s="15" t="n">
        <f aca="false">IF($A104="","",ROUNDUP($A104/12,0))</f>
        <v>9</v>
      </c>
      <c r="C104" s="15" t="n">
        <f aca="false">IF($A104="","",PARAMETROS!$C$6+INT(($A104-1)/12))</f>
        <v>73</v>
      </c>
      <c r="D104" s="15" t="n">
        <f aca="false">IF($A104="","",MOD($A104-1,12)+1)</f>
        <v>6</v>
      </c>
      <c r="E104" s="16" t="n">
        <f aca="false">IF($A104&gt;PARAMETROS!$C$33,"",P103)</f>
        <v>964469.615555707</v>
      </c>
      <c r="F104" s="17" t="n">
        <f aca="false">IF($A104&gt;PARAMETROS!$C$33,"",PARAMETROS!$C$38)</f>
        <v>0.00495440818448101</v>
      </c>
      <c r="G104" s="16" t="n">
        <f aca="false">IF($A104&gt;PARAMETROS!$C$33,"",E104*F104)</f>
        <v>4778.37615699245</v>
      </c>
      <c r="H104" s="16" t="n">
        <f aca="false">IF($A104&gt;PARAMETROS!$C$33,"",E104*PARAMETROS!$C$39)</f>
        <v>720.385428999037</v>
      </c>
      <c r="I104" s="16" t="n">
        <f aca="false">IF($A104&gt;PARAMETROS!$C$33,"",G104-H104)</f>
        <v>4057.99072799341</v>
      </c>
      <c r="J104" s="16" t="n">
        <f aca="false">IF($A104&gt;PARAMETROS!$C$33,"",PARAMETROS!$C$9*(1+PARAMETROS!$C$17)^(B104-1))</f>
        <v>40867.9595272387</v>
      </c>
      <c r="K104" s="16" t="n">
        <f aca="false">IF($A104&gt;PARAMETROS!$C$33,"",K103*(1+PARAMETROS!$C$36))</f>
        <v>36163.9437781659</v>
      </c>
      <c r="L104" s="16" t="n">
        <f aca="false">IF($A104&gt;PARAMETROS!$C$33,"",L103*(1+PARAMETROS!$C$37)*(1+M104))</f>
        <v>12011.5451373554</v>
      </c>
      <c r="M104" s="17" t="n">
        <f aca="false">IF($A104&gt;PARAMETROS!$C$33,"",IF(C104&lt;70,PARAMETROS!$C$40,IF(C104&lt;75,PARAMETROS!$C$41,IF(C104&lt;80,PARAMETROS!$C$42,IF(C104&lt;85,PARAMETROS!$C$43,IF(C104&lt;90,PARAMETROS!$C$44,PARAMETROS!$C$45))))))</f>
        <v>0.00205983626984274</v>
      </c>
      <c r="N104" s="16" t="n">
        <f aca="false">IF($A104&gt;PARAMETROS!$C$33,"",K104+L104)</f>
        <v>48175.4889155213</v>
      </c>
      <c r="O104" s="16" t="n">
        <f aca="false">IF($A104&gt;PARAMETROS!$C$33,"",I104+J104-N104)</f>
        <v>-3249.53866028915</v>
      </c>
      <c r="P104" s="16" t="n">
        <f aca="false">IF($A104&gt;PARAMETROS!$C$33,"",MAX(E104+I104+J104-N104,0))</f>
        <v>961220.076895418</v>
      </c>
      <c r="Q104" s="18" t="str">
        <f aca="false">IF($A104&gt;PARAMETROS!$C$33,"",IF(P104&lt;=0,"AGOTADO","OK"))</f>
        <v>OK</v>
      </c>
    </row>
    <row r="105" customFormat="false" ht="15" hidden="false" customHeight="false" outlineLevel="0" collapsed="false">
      <c r="A105" s="15" t="n">
        <f aca="false">A104+1</f>
        <v>103</v>
      </c>
      <c r="B105" s="15" t="n">
        <f aca="false">IF($A105="","",ROUNDUP($A105/12,0))</f>
        <v>9</v>
      </c>
      <c r="C105" s="15" t="n">
        <f aca="false">IF($A105="","",PARAMETROS!$C$6+INT(($A105-1)/12))</f>
        <v>73</v>
      </c>
      <c r="D105" s="15" t="n">
        <f aca="false">IF($A105="","",MOD($A105-1,12)+1)</f>
        <v>7</v>
      </c>
      <c r="E105" s="16" t="n">
        <f aca="false">IF($A105&gt;PARAMETROS!$C$33,"",P104)</f>
        <v>961220.076895418</v>
      </c>
      <c r="F105" s="17" t="n">
        <f aca="false">IF($A105&gt;PARAMETROS!$C$33,"",PARAMETROS!$C$38)</f>
        <v>0.00495440818448101</v>
      </c>
      <c r="G105" s="16" t="n">
        <f aca="false">IF($A105&gt;PARAMETROS!$C$33,"",E105*F105)</f>
        <v>4762.27661605812</v>
      </c>
      <c r="H105" s="16" t="n">
        <f aca="false">IF($A105&gt;PARAMETROS!$C$33,"",E105*PARAMETROS!$C$39)</f>
        <v>717.958270834503</v>
      </c>
      <c r="I105" s="16" t="n">
        <f aca="false">IF($A105&gt;PARAMETROS!$C$33,"",G105-H105)</f>
        <v>4044.31834522362</v>
      </c>
      <c r="J105" s="16" t="n">
        <f aca="false">IF($A105&gt;PARAMETROS!$C$33,"",PARAMETROS!$C$9*(1+PARAMETROS!$C$17)^(B105-1))</f>
        <v>40867.9595272387</v>
      </c>
      <c r="K105" s="16" t="n">
        <f aca="false">IF($A105&gt;PARAMETROS!$C$33,"",K104*(1+PARAMETROS!$C$36))</f>
        <v>36287.8542526701</v>
      </c>
      <c r="L105" s="16" t="n">
        <f aca="false">IF($A105&gt;PARAMETROS!$C$33,"",L104*(1+PARAMETROS!$C$37)*(1+M105))</f>
        <v>12083.7885594187</v>
      </c>
      <c r="M105" s="17" t="n">
        <f aca="false">IF($A105&gt;PARAMETROS!$C$33,"",IF(C105&lt;70,PARAMETROS!$C$40,IF(C105&lt;75,PARAMETROS!$C$41,IF(C105&lt;80,PARAMETROS!$C$42,IF(C105&lt;85,PARAMETROS!$C$43,IF(C105&lt;90,PARAMETROS!$C$44,PARAMETROS!$C$45))))))</f>
        <v>0.00205983626984274</v>
      </c>
      <c r="N105" s="16" t="n">
        <f aca="false">IF($A105&gt;PARAMETROS!$C$33,"",K105+L105)</f>
        <v>48371.6428120888</v>
      </c>
      <c r="O105" s="16" t="n">
        <f aca="false">IF($A105&gt;PARAMETROS!$C$33,"",I105+J105-N105)</f>
        <v>-3459.36493962647</v>
      </c>
      <c r="P105" s="16" t="n">
        <f aca="false">IF($A105&gt;PARAMETROS!$C$33,"",MAX(E105+I105+J105-N105,0))</f>
        <v>957760.711955792</v>
      </c>
      <c r="Q105" s="18" t="str">
        <f aca="false">IF($A105&gt;PARAMETROS!$C$33,"",IF(P105&lt;=0,"AGOTADO","OK"))</f>
        <v>OK</v>
      </c>
    </row>
    <row r="106" customFormat="false" ht="15" hidden="false" customHeight="false" outlineLevel="0" collapsed="false">
      <c r="A106" s="15" t="n">
        <f aca="false">A105+1</f>
        <v>104</v>
      </c>
      <c r="B106" s="15" t="n">
        <f aca="false">IF($A106="","",ROUNDUP($A106/12,0))</f>
        <v>9</v>
      </c>
      <c r="C106" s="15" t="n">
        <f aca="false">IF($A106="","",PARAMETROS!$C$6+INT(($A106-1)/12))</f>
        <v>73</v>
      </c>
      <c r="D106" s="15" t="n">
        <f aca="false">IF($A106="","",MOD($A106-1,12)+1)</f>
        <v>8</v>
      </c>
      <c r="E106" s="16" t="n">
        <f aca="false">IF($A106&gt;PARAMETROS!$C$33,"",P105)</f>
        <v>957760.711955792</v>
      </c>
      <c r="F106" s="17" t="n">
        <f aca="false">IF($A106&gt;PARAMETROS!$C$33,"",PARAMETROS!$C$38)</f>
        <v>0.00495440818448101</v>
      </c>
      <c r="G106" s="16" t="n">
        <f aca="false">IF($A106&gt;PARAMETROS!$C$33,"",E106*F106)</f>
        <v>4745.13751008813</v>
      </c>
      <c r="H106" s="16" t="n">
        <f aca="false">IF($A106&gt;PARAMETROS!$C$33,"",E106*PARAMETROS!$C$39)</f>
        <v>715.374388402228</v>
      </c>
      <c r="I106" s="16" t="n">
        <f aca="false">IF($A106&gt;PARAMETROS!$C$33,"",G106-H106)</f>
        <v>4029.7631216859</v>
      </c>
      <c r="J106" s="16" t="n">
        <f aca="false">IF($A106&gt;PARAMETROS!$C$33,"",PARAMETROS!$C$9*(1+PARAMETROS!$C$17)^(B106-1))</f>
        <v>40867.9595272387</v>
      </c>
      <c r="K106" s="16" t="n">
        <f aca="false">IF($A106&gt;PARAMETROS!$C$33,"",K105*(1+PARAMETROS!$C$36))</f>
        <v>36412.189288328</v>
      </c>
      <c r="L106" s="16" t="n">
        <f aca="false">IF($A106&gt;PARAMETROS!$C$33,"",L105*(1+PARAMETROS!$C$37)*(1+M106))</f>
        <v>12156.4664894468</v>
      </c>
      <c r="M106" s="17" t="n">
        <f aca="false">IF($A106&gt;PARAMETROS!$C$33,"",IF(C106&lt;70,PARAMETROS!$C$40,IF(C106&lt;75,PARAMETROS!$C$41,IF(C106&lt;80,PARAMETROS!$C$42,IF(C106&lt;85,PARAMETROS!$C$43,IF(C106&lt;90,PARAMETROS!$C$44,PARAMETROS!$C$45))))))</f>
        <v>0.00205983626984274</v>
      </c>
      <c r="N106" s="16" t="n">
        <f aca="false">IF($A106&gt;PARAMETROS!$C$33,"",K106+L106)</f>
        <v>48568.6557777748</v>
      </c>
      <c r="O106" s="16" t="n">
        <f aca="false">IF($A106&gt;PARAMETROS!$C$33,"",I106+J106-N106)</f>
        <v>-3670.93312885014</v>
      </c>
      <c r="P106" s="16" t="n">
        <f aca="false">IF($A106&gt;PARAMETROS!$C$33,"",MAX(E106+I106+J106-N106,0))</f>
        <v>954089.778826942</v>
      </c>
      <c r="Q106" s="18" t="str">
        <f aca="false">IF($A106&gt;PARAMETROS!$C$33,"",IF(P106&lt;=0,"AGOTADO","OK"))</f>
        <v>OK</v>
      </c>
    </row>
    <row r="107" customFormat="false" ht="15" hidden="false" customHeight="false" outlineLevel="0" collapsed="false">
      <c r="A107" s="15" t="n">
        <f aca="false">A106+1</f>
        <v>105</v>
      </c>
      <c r="B107" s="15" t="n">
        <f aca="false">IF($A107="","",ROUNDUP($A107/12,0))</f>
        <v>9</v>
      </c>
      <c r="C107" s="15" t="n">
        <f aca="false">IF($A107="","",PARAMETROS!$C$6+INT(($A107-1)/12))</f>
        <v>73</v>
      </c>
      <c r="D107" s="15" t="n">
        <f aca="false">IF($A107="","",MOD($A107-1,12)+1)</f>
        <v>9</v>
      </c>
      <c r="E107" s="16" t="n">
        <f aca="false">IF($A107&gt;PARAMETROS!$C$33,"",P106)</f>
        <v>954089.778826942</v>
      </c>
      <c r="F107" s="17" t="n">
        <f aca="false">IF($A107&gt;PARAMETROS!$C$33,"",PARAMETROS!$C$38)</f>
        <v>0.00495440818448101</v>
      </c>
      <c r="G107" s="16" t="n">
        <f aca="false">IF($A107&gt;PARAMETROS!$C$33,"",E107*F107)</f>
        <v>4726.95020894987</v>
      </c>
      <c r="H107" s="16" t="n">
        <f aca="false">IF($A107&gt;PARAMETROS!$C$33,"",E107*PARAMETROS!$C$39)</f>
        <v>712.632480628047</v>
      </c>
      <c r="I107" s="16" t="n">
        <f aca="false">IF($A107&gt;PARAMETROS!$C$33,"",G107-H107)</f>
        <v>4014.31772832183</v>
      </c>
      <c r="J107" s="16" t="n">
        <f aca="false">IF($A107&gt;PARAMETROS!$C$33,"",PARAMETROS!$C$9*(1+PARAMETROS!$C$17)^(B107-1))</f>
        <v>40867.9595272387</v>
      </c>
      <c r="K107" s="16" t="n">
        <f aca="false">IF($A107&gt;PARAMETROS!$C$33,"",K106*(1+PARAMETROS!$C$36))</f>
        <v>36536.9503398364</v>
      </c>
      <c r="L107" s="16" t="n">
        <f aca="false">IF($A107&gt;PARAMETROS!$C$33,"",L106*(1+PARAMETROS!$C$37)*(1+M107))</f>
        <v>12229.5815407872</v>
      </c>
      <c r="M107" s="17" t="n">
        <f aca="false">IF($A107&gt;PARAMETROS!$C$33,"",IF(C107&lt;70,PARAMETROS!$C$40,IF(C107&lt;75,PARAMETROS!$C$41,IF(C107&lt;80,PARAMETROS!$C$42,IF(C107&lt;85,PARAMETROS!$C$43,IF(C107&lt;90,PARAMETROS!$C$44,PARAMETROS!$C$45))))))</f>
        <v>0.00205983626984274</v>
      </c>
      <c r="N107" s="16" t="n">
        <f aca="false">IF($A107&gt;PARAMETROS!$C$33,"",K107+L107)</f>
        <v>48766.5318806236</v>
      </c>
      <c r="O107" s="16" t="n">
        <f aca="false">IF($A107&gt;PARAMETROS!$C$33,"",I107+J107-N107)</f>
        <v>-3884.25462506302</v>
      </c>
      <c r="P107" s="16" t="n">
        <f aca="false">IF($A107&gt;PARAMETROS!$C$33,"",MAX(E107+I107+J107-N107,0))</f>
        <v>950205.524201879</v>
      </c>
      <c r="Q107" s="18" t="str">
        <f aca="false">IF($A107&gt;PARAMETROS!$C$33,"",IF(P107&lt;=0,"AGOTADO","OK"))</f>
        <v>OK</v>
      </c>
    </row>
    <row r="108" customFormat="false" ht="15" hidden="false" customHeight="false" outlineLevel="0" collapsed="false">
      <c r="A108" s="15" t="n">
        <f aca="false">A107+1</f>
        <v>106</v>
      </c>
      <c r="B108" s="15" t="n">
        <f aca="false">IF($A108="","",ROUNDUP($A108/12,0))</f>
        <v>9</v>
      </c>
      <c r="C108" s="15" t="n">
        <f aca="false">IF($A108="","",PARAMETROS!$C$6+INT(($A108-1)/12))</f>
        <v>73</v>
      </c>
      <c r="D108" s="15" t="n">
        <f aca="false">IF($A108="","",MOD($A108-1,12)+1)</f>
        <v>10</v>
      </c>
      <c r="E108" s="16" t="n">
        <f aca="false">IF($A108&gt;PARAMETROS!$C$33,"",P107)</f>
        <v>950205.524201879</v>
      </c>
      <c r="F108" s="17" t="n">
        <f aca="false">IF($A108&gt;PARAMETROS!$C$33,"",PARAMETROS!$C$38)</f>
        <v>0.00495440818448101</v>
      </c>
      <c r="G108" s="16" t="n">
        <f aca="false">IF($A108&gt;PARAMETROS!$C$33,"",E108*F108)</f>
        <v>4707.70602604485</v>
      </c>
      <c r="H108" s="16" t="n">
        <f aca="false">IF($A108&gt;PARAMETROS!$C$33,"",E108*PARAMETROS!$C$39)</f>
        <v>709.731237925025</v>
      </c>
      <c r="I108" s="16" t="n">
        <f aca="false">IF($A108&gt;PARAMETROS!$C$33,"",G108-H108)</f>
        <v>3997.97478811983</v>
      </c>
      <c r="J108" s="16" t="n">
        <f aca="false">IF($A108&gt;PARAMETROS!$C$33,"",PARAMETROS!$C$9*(1+PARAMETROS!$C$17)^(B108-1))</f>
        <v>40867.9595272387</v>
      </c>
      <c r="K108" s="16" t="n">
        <f aca="false">IF($A108&gt;PARAMETROS!$C$33,"",K107*(1+PARAMETROS!$C$36))</f>
        <v>36662.1388668764</v>
      </c>
      <c r="L108" s="16" t="n">
        <f aca="false">IF($A108&gt;PARAMETROS!$C$33,"",L107*(1+PARAMETROS!$C$37)*(1+M108))</f>
        <v>12303.1363425055</v>
      </c>
      <c r="M108" s="17" t="n">
        <f aca="false">IF($A108&gt;PARAMETROS!$C$33,"",IF(C108&lt;70,PARAMETROS!$C$40,IF(C108&lt;75,PARAMETROS!$C$41,IF(C108&lt;80,PARAMETROS!$C$42,IF(C108&lt;85,PARAMETROS!$C$43,IF(C108&lt;90,PARAMETROS!$C$44,PARAMETROS!$C$45))))))</f>
        <v>0.00205983626984274</v>
      </c>
      <c r="N108" s="16" t="n">
        <f aca="false">IF($A108&gt;PARAMETROS!$C$33,"",K108+L108)</f>
        <v>48965.2752093819</v>
      </c>
      <c r="O108" s="16" t="n">
        <f aca="false">IF($A108&gt;PARAMETROS!$C$33,"",I108+J108-N108)</f>
        <v>-4099.34089402333</v>
      </c>
      <c r="P108" s="16" t="n">
        <f aca="false">IF($A108&gt;PARAMETROS!$C$33,"",MAX(E108+I108+J108-N108,0))</f>
        <v>946106.183307855</v>
      </c>
      <c r="Q108" s="18" t="str">
        <f aca="false">IF($A108&gt;PARAMETROS!$C$33,"",IF(P108&lt;=0,"AGOTADO","OK"))</f>
        <v>OK</v>
      </c>
    </row>
    <row r="109" customFormat="false" ht="15" hidden="false" customHeight="false" outlineLevel="0" collapsed="false">
      <c r="A109" s="15" t="n">
        <f aca="false">A108+1</f>
        <v>107</v>
      </c>
      <c r="B109" s="15" t="n">
        <f aca="false">IF($A109="","",ROUNDUP($A109/12,0))</f>
        <v>9</v>
      </c>
      <c r="C109" s="15" t="n">
        <f aca="false">IF($A109="","",PARAMETROS!$C$6+INT(($A109-1)/12))</f>
        <v>73</v>
      </c>
      <c r="D109" s="15" t="n">
        <f aca="false">IF($A109="","",MOD($A109-1,12)+1)</f>
        <v>11</v>
      </c>
      <c r="E109" s="16" t="n">
        <f aca="false">IF($A109&gt;PARAMETROS!$C$33,"",P108)</f>
        <v>946106.183307855</v>
      </c>
      <c r="F109" s="17" t="n">
        <f aca="false">IF($A109&gt;PARAMETROS!$C$33,"",PARAMETROS!$C$38)</f>
        <v>0.00495440818448101</v>
      </c>
      <c r="G109" s="16" t="n">
        <f aca="false">IF($A109&gt;PARAMETROS!$C$33,"",E109*F109)</f>
        <v>4687.39621796853</v>
      </c>
      <c r="H109" s="16" t="n">
        <f aca="false">IF($A109&gt;PARAMETROS!$C$33,"",E109*PARAMETROS!$C$39)</f>
        <v>706.669342142178</v>
      </c>
      <c r="I109" s="16" t="n">
        <f aca="false">IF($A109&gt;PARAMETROS!$C$33,"",G109-H109)</f>
        <v>3980.72687582635</v>
      </c>
      <c r="J109" s="16" t="n">
        <f aca="false">IF($A109&gt;PARAMETROS!$C$33,"",PARAMETROS!$C$9*(1+PARAMETROS!$C$17)^(B109-1))</f>
        <v>40867.9595272387</v>
      </c>
      <c r="K109" s="16" t="n">
        <f aca="false">IF($A109&gt;PARAMETROS!$C$33,"",K108*(1+PARAMETROS!$C$36))</f>
        <v>36787.7563341305</v>
      </c>
      <c r="L109" s="16" t="n">
        <f aca="false">IF($A109&gt;PARAMETROS!$C$33,"",L108*(1+PARAMETROS!$C$37)*(1+M109))</f>
        <v>12377.1335394797</v>
      </c>
      <c r="M109" s="17" t="n">
        <f aca="false">IF($A109&gt;PARAMETROS!$C$33,"",IF(C109&lt;70,PARAMETROS!$C$40,IF(C109&lt;75,PARAMETROS!$C$41,IF(C109&lt;80,PARAMETROS!$C$42,IF(C109&lt;85,PARAMETROS!$C$43,IF(C109&lt;90,PARAMETROS!$C$44,PARAMETROS!$C$45))))))</f>
        <v>0.00205983626984274</v>
      </c>
      <c r="N109" s="16" t="n">
        <f aca="false">IF($A109&gt;PARAMETROS!$C$33,"",K109+L109)</f>
        <v>49164.8898736102</v>
      </c>
      <c r="O109" s="16" t="n">
        <f aca="false">IF($A109&gt;PARAMETROS!$C$33,"",I109+J109-N109)</f>
        <v>-4316.20347054519</v>
      </c>
      <c r="P109" s="16" t="n">
        <f aca="false">IF($A109&gt;PARAMETROS!$C$33,"",MAX(E109+I109+J109-N109,0))</f>
        <v>941789.97983731</v>
      </c>
      <c r="Q109" s="18" t="str">
        <f aca="false">IF($A109&gt;PARAMETROS!$C$33,"",IF(P109&lt;=0,"AGOTADO","OK"))</f>
        <v>OK</v>
      </c>
    </row>
    <row r="110" customFormat="false" ht="15" hidden="false" customHeight="false" outlineLevel="0" collapsed="false">
      <c r="A110" s="15" t="n">
        <f aca="false">A109+1</f>
        <v>108</v>
      </c>
      <c r="B110" s="15" t="n">
        <f aca="false">IF($A110="","",ROUNDUP($A110/12,0))</f>
        <v>9</v>
      </c>
      <c r="C110" s="15" t="n">
        <f aca="false">IF($A110="","",PARAMETROS!$C$6+INT(($A110-1)/12))</f>
        <v>73</v>
      </c>
      <c r="D110" s="15" t="n">
        <f aca="false">IF($A110="","",MOD($A110-1,12)+1)</f>
        <v>12</v>
      </c>
      <c r="E110" s="16" t="n">
        <f aca="false">IF($A110&gt;PARAMETROS!$C$33,"",P109)</f>
        <v>941789.97983731</v>
      </c>
      <c r="F110" s="17" t="n">
        <f aca="false">IF($A110&gt;PARAMETROS!$C$33,"",PARAMETROS!$C$38)</f>
        <v>0.00495440818448101</v>
      </c>
      <c r="G110" s="16" t="n">
        <f aca="false">IF($A110&gt;PARAMETROS!$C$33,"",E110*F110)</f>
        <v>4666.01198416817</v>
      </c>
      <c r="H110" s="16" t="n">
        <f aca="false">IF($A110&gt;PARAMETROS!$C$33,"",E110*PARAMETROS!$C$39)</f>
        <v>703.445466512893</v>
      </c>
      <c r="I110" s="16" t="n">
        <f aca="false">IF($A110&gt;PARAMETROS!$C$33,"",G110-H110)</f>
        <v>3962.56651765528</v>
      </c>
      <c r="J110" s="16" t="n">
        <f aca="false">IF($A110&gt;PARAMETROS!$C$33,"",PARAMETROS!$C$9*(1+PARAMETROS!$C$17)^(B110-1))</f>
        <v>40867.9595272387</v>
      </c>
      <c r="K110" s="16" t="n">
        <f aca="false">IF($A110&gt;PARAMETROS!$C$33,"",K109*(1+PARAMETROS!$C$36))</f>
        <v>36913.8042112998</v>
      </c>
      <c r="L110" s="16" t="n">
        <f aca="false">IF($A110&gt;PARAMETROS!$C$33,"",L109*(1+PARAMETROS!$C$37)*(1+M110))</f>
        <v>12451.5757924956</v>
      </c>
      <c r="M110" s="17" t="n">
        <f aca="false">IF($A110&gt;PARAMETROS!$C$33,"",IF(C110&lt;70,PARAMETROS!$C$40,IF(C110&lt;75,PARAMETROS!$C$41,IF(C110&lt;80,PARAMETROS!$C$42,IF(C110&lt;85,PARAMETROS!$C$43,IF(C110&lt;90,PARAMETROS!$C$44,PARAMETROS!$C$45))))))</f>
        <v>0.00205983626984274</v>
      </c>
      <c r="N110" s="16" t="n">
        <f aca="false">IF($A110&gt;PARAMETROS!$C$33,"",K110+L110)</f>
        <v>49365.3800037954</v>
      </c>
      <c r="O110" s="16" t="n">
        <f aca="false">IF($A110&gt;PARAMETROS!$C$33,"",I110+J110-N110)</f>
        <v>-4534.85395890141</v>
      </c>
      <c r="P110" s="16" t="n">
        <f aca="false">IF($A110&gt;PARAMETROS!$C$33,"",MAX(E110+I110+J110-N110,0))</f>
        <v>937255.125878409</v>
      </c>
      <c r="Q110" s="18" t="str">
        <f aca="false">IF($A110&gt;PARAMETROS!$C$33,"",IF(P110&lt;=0,"AGOTADO","OK"))</f>
        <v>OK</v>
      </c>
    </row>
    <row r="111" customFormat="false" ht="15" hidden="false" customHeight="false" outlineLevel="0" collapsed="false">
      <c r="A111" s="19" t="n">
        <f aca="false">A110+1</f>
        <v>109</v>
      </c>
      <c r="B111" s="19" t="n">
        <f aca="false">IF($A111="","",ROUNDUP($A111/12,0))</f>
        <v>10</v>
      </c>
      <c r="C111" s="19" t="n">
        <f aca="false">IF($A111="","",PARAMETROS!$C$6+INT(($A111-1)/12))</f>
        <v>74</v>
      </c>
      <c r="D111" s="19" t="n">
        <f aca="false">IF($A111="","",MOD($A111-1,12)+1)</f>
        <v>1</v>
      </c>
      <c r="E111" s="20" t="n">
        <f aca="false">IF($A111&gt;PARAMETROS!$C$33,"",P110)</f>
        <v>937255.125878409</v>
      </c>
      <c r="F111" s="21" t="n">
        <f aca="false">IF($A111&gt;PARAMETROS!$C$33,"",PARAMETROS!$C$38)</f>
        <v>0.00495440818448101</v>
      </c>
      <c r="G111" s="20" t="n">
        <f aca="false">IF($A111&gt;PARAMETROS!$C$33,"",E111*F111)</f>
        <v>4643.54446659877</v>
      </c>
      <c r="H111" s="20" t="n">
        <f aca="false">IF($A111&gt;PARAMETROS!$C$33,"",E111*PARAMETROS!$C$39)</f>
        <v>700.058275603049</v>
      </c>
      <c r="I111" s="20" t="n">
        <f aca="false">IF($A111&gt;PARAMETROS!$C$33,"",G111-H111)</f>
        <v>3943.48619099572</v>
      </c>
      <c r="J111" s="20" t="n">
        <f aca="false">IF($A111&gt;PARAMETROS!$C$33,"",PARAMETROS!$C$9*(1+PARAMETROS!$C$17)^(B111-1))</f>
        <v>42478.1571326119</v>
      </c>
      <c r="K111" s="20" t="n">
        <f aca="false">IF($A111&gt;PARAMETROS!$C$33,"",K110*(1+PARAMETROS!$C$36))</f>
        <v>37040.283973121</v>
      </c>
      <c r="L111" s="20" t="n">
        <f aca="false">IF($A111&gt;PARAMETROS!$C$33,"",L110*(1+PARAMETROS!$C$37)*(1+M111))</f>
        <v>12526.465778342</v>
      </c>
      <c r="M111" s="21" t="n">
        <f aca="false">IF($A111&gt;PARAMETROS!$C$33,"",IF(C111&lt;70,PARAMETROS!$C$40,IF(C111&lt;75,PARAMETROS!$C$41,IF(C111&lt;80,PARAMETROS!$C$42,IF(C111&lt;85,PARAMETROS!$C$43,IF(C111&lt;90,PARAMETROS!$C$44,PARAMETROS!$C$45))))))</f>
        <v>0.00205983626984274</v>
      </c>
      <c r="N111" s="20" t="n">
        <f aca="false">IF($A111&gt;PARAMETROS!$C$33,"",K111+L111)</f>
        <v>49566.749751463</v>
      </c>
      <c r="O111" s="20" t="n">
        <f aca="false">IF($A111&gt;PARAMETROS!$C$33,"",I111+J111-N111)</f>
        <v>-3145.1064278554</v>
      </c>
      <c r="P111" s="20" t="n">
        <f aca="false">IF($A111&gt;PARAMETROS!$C$33,"",MAX(E111+I111+J111-N111,0))</f>
        <v>934110.019450553</v>
      </c>
      <c r="Q111" s="22" t="str">
        <f aca="false">IF($A111&gt;PARAMETROS!$C$33,"",IF(P111&lt;=0,"AGOTADO","OK"))</f>
        <v>OK</v>
      </c>
    </row>
    <row r="112" customFormat="false" ht="15" hidden="false" customHeight="false" outlineLevel="0" collapsed="false">
      <c r="A112" s="19" t="n">
        <f aca="false">A111+1</f>
        <v>110</v>
      </c>
      <c r="B112" s="19" t="n">
        <f aca="false">IF($A112="","",ROUNDUP($A112/12,0))</f>
        <v>10</v>
      </c>
      <c r="C112" s="19" t="n">
        <f aca="false">IF($A112="","",PARAMETROS!$C$6+INT(($A112-1)/12))</f>
        <v>74</v>
      </c>
      <c r="D112" s="19" t="n">
        <f aca="false">IF($A112="","",MOD($A112-1,12)+1)</f>
        <v>2</v>
      </c>
      <c r="E112" s="20" t="n">
        <f aca="false">IF($A112&gt;PARAMETROS!$C$33,"",P111)</f>
        <v>934110.019450553</v>
      </c>
      <c r="F112" s="21" t="n">
        <f aca="false">IF($A112&gt;PARAMETROS!$C$33,"",PARAMETROS!$C$38)</f>
        <v>0.00495440818448101</v>
      </c>
      <c r="G112" s="20" t="n">
        <f aca="false">IF($A112&gt;PARAMETROS!$C$33,"",E112*F112)</f>
        <v>4627.96232557153</v>
      </c>
      <c r="H112" s="20" t="n">
        <f aca="false">IF($A112&gt;PARAMETROS!$C$33,"",E112*PARAMETROS!$C$39)</f>
        <v>697.709120371266</v>
      </c>
      <c r="I112" s="20" t="n">
        <f aca="false">IF($A112&gt;PARAMETROS!$C$33,"",G112-H112)</f>
        <v>3930.25320520027</v>
      </c>
      <c r="J112" s="20" t="n">
        <f aca="false">IF($A112&gt;PARAMETROS!$C$33,"",PARAMETROS!$C$9*(1+PARAMETROS!$C$17)^(B112-1))</f>
        <v>42478.1571326119</v>
      </c>
      <c r="K112" s="20" t="n">
        <f aca="false">IF($A112&gt;PARAMETROS!$C$33,"",K111*(1+PARAMETROS!$C$36))</f>
        <v>37167.1970993839</v>
      </c>
      <c r="L112" s="20" t="n">
        <f aca="false">IF($A112&gt;PARAMETROS!$C$33,"",L111*(1+PARAMETROS!$C$37)*(1+M112))</f>
        <v>12601.8061899075</v>
      </c>
      <c r="M112" s="21" t="n">
        <f aca="false">IF($A112&gt;PARAMETROS!$C$33,"",IF(C112&lt;70,PARAMETROS!$C$40,IF(C112&lt;75,PARAMETROS!$C$41,IF(C112&lt;80,PARAMETROS!$C$42,IF(C112&lt;85,PARAMETROS!$C$43,IF(C112&lt;90,PARAMETROS!$C$44,PARAMETROS!$C$45))))))</f>
        <v>0.00205983626984274</v>
      </c>
      <c r="N112" s="20" t="n">
        <f aca="false">IF($A112&gt;PARAMETROS!$C$33,"",K112+L112)</f>
        <v>49769.0032892914</v>
      </c>
      <c r="O112" s="20" t="n">
        <f aca="false">IF($A112&gt;PARAMETROS!$C$33,"",I112+J112-N112)</f>
        <v>-3360.59295147921</v>
      </c>
      <c r="P112" s="20" t="n">
        <f aca="false">IF($A112&gt;PARAMETROS!$C$33,"",MAX(E112+I112+J112-N112,0))</f>
        <v>930749.426499074</v>
      </c>
      <c r="Q112" s="22" t="str">
        <f aca="false">IF($A112&gt;PARAMETROS!$C$33,"",IF(P112&lt;=0,"AGOTADO","OK"))</f>
        <v>OK</v>
      </c>
    </row>
    <row r="113" customFormat="false" ht="15" hidden="false" customHeight="false" outlineLevel="0" collapsed="false">
      <c r="A113" s="19" t="n">
        <f aca="false">A112+1</f>
        <v>111</v>
      </c>
      <c r="B113" s="19" t="n">
        <f aca="false">IF($A113="","",ROUNDUP($A113/12,0))</f>
        <v>10</v>
      </c>
      <c r="C113" s="19" t="n">
        <f aca="false">IF($A113="","",PARAMETROS!$C$6+INT(($A113-1)/12))</f>
        <v>74</v>
      </c>
      <c r="D113" s="19" t="n">
        <f aca="false">IF($A113="","",MOD($A113-1,12)+1)</f>
        <v>3</v>
      </c>
      <c r="E113" s="20" t="n">
        <f aca="false">IF($A113&gt;PARAMETROS!$C$33,"",P112)</f>
        <v>930749.426499074</v>
      </c>
      <c r="F113" s="21" t="n">
        <f aca="false">IF($A113&gt;PARAMETROS!$C$33,"",PARAMETROS!$C$38)</f>
        <v>0.00495440818448101</v>
      </c>
      <c r="G113" s="20" t="n">
        <f aca="false">IF($A113&gt;PARAMETROS!$C$33,"",E113*F113)</f>
        <v>4611.31257634802</v>
      </c>
      <c r="H113" s="20" t="n">
        <f aca="false">IF($A113&gt;PARAMETROS!$C$33,"",E113*PARAMETROS!$C$39)</f>
        <v>695.199013099875</v>
      </c>
      <c r="I113" s="20" t="n">
        <f aca="false">IF($A113&gt;PARAMETROS!$C$33,"",G113-H113)</f>
        <v>3916.11356324814</v>
      </c>
      <c r="J113" s="20" t="n">
        <f aca="false">IF($A113&gt;PARAMETROS!$C$33,"",PARAMETROS!$C$9*(1+PARAMETROS!$C$17)^(B113-1))</f>
        <v>42478.1571326119</v>
      </c>
      <c r="K113" s="20" t="n">
        <f aca="false">IF($A113&gt;PARAMETROS!$C$33,"",K112*(1+PARAMETROS!$C$36))</f>
        <v>37294.5450749483</v>
      </c>
      <c r="L113" s="20" t="n">
        <f aca="false">IF($A113&gt;PARAMETROS!$C$33,"",L112*(1+PARAMETROS!$C$37)*(1+M113))</f>
        <v>12677.599736277</v>
      </c>
      <c r="M113" s="21" t="n">
        <f aca="false">IF($A113&gt;PARAMETROS!$C$33,"",IF(C113&lt;70,PARAMETROS!$C$40,IF(C113&lt;75,PARAMETROS!$C$41,IF(C113&lt;80,PARAMETROS!$C$42,IF(C113&lt;85,PARAMETROS!$C$43,IF(C113&lt;90,PARAMETROS!$C$44,PARAMETROS!$C$45))))))</f>
        <v>0.00205983626984274</v>
      </c>
      <c r="N113" s="20" t="n">
        <f aca="false">IF($A113&gt;PARAMETROS!$C$33,"",K113+L113)</f>
        <v>49972.1448112254</v>
      </c>
      <c r="O113" s="20" t="n">
        <f aca="false">IF($A113&gt;PARAMETROS!$C$33,"",I113+J113-N113)</f>
        <v>-3577.8741153653</v>
      </c>
      <c r="P113" s="20" t="n">
        <f aca="false">IF($A113&gt;PARAMETROS!$C$33,"",MAX(E113+I113+J113-N113,0))</f>
        <v>927171.552383709</v>
      </c>
      <c r="Q113" s="22" t="str">
        <f aca="false">IF($A113&gt;PARAMETROS!$C$33,"",IF(P113&lt;=0,"AGOTADO","OK"))</f>
        <v>OK</v>
      </c>
    </row>
    <row r="114" customFormat="false" ht="15" hidden="false" customHeight="false" outlineLevel="0" collapsed="false">
      <c r="A114" s="19" t="n">
        <f aca="false">A113+1</f>
        <v>112</v>
      </c>
      <c r="B114" s="19" t="n">
        <f aca="false">IF($A114="","",ROUNDUP($A114/12,0))</f>
        <v>10</v>
      </c>
      <c r="C114" s="19" t="n">
        <f aca="false">IF($A114="","",PARAMETROS!$C$6+INT(($A114-1)/12))</f>
        <v>74</v>
      </c>
      <c r="D114" s="19" t="n">
        <f aca="false">IF($A114="","",MOD($A114-1,12)+1)</f>
        <v>4</v>
      </c>
      <c r="E114" s="20" t="n">
        <f aca="false">IF($A114&gt;PARAMETROS!$C$33,"",P113)</f>
        <v>927171.552383709</v>
      </c>
      <c r="F114" s="21" t="n">
        <f aca="false">IF($A114&gt;PARAMETROS!$C$33,"",PARAMETROS!$C$38)</f>
        <v>0.00495440818448101</v>
      </c>
      <c r="G114" s="20" t="n">
        <f aca="false">IF($A114&gt;PARAMETROS!$C$33,"",E114*F114)</f>
        <v>4593.58632754781</v>
      </c>
      <c r="H114" s="20" t="n">
        <f aca="false">IF($A114&gt;PARAMETROS!$C$33,"",E114*PARAMETROS!$C$39)</f>
        <v>692.52661332913</v>
      </c>
      <c r="I114" s="20" t="n">
        <f aca="false">IF($A114&gt;PARAMETROS!$C$33,"",G114-H114)</f>
        <v>3901.05971421868</v>
      </c>
      <c r="J114" s="20" t="n">
        <f aca="false">IF($A114&gt;PARAMETROS!$C$33,"",PARAMETROS!$C$9*(1+PARAMETROS!$C$17)^(B114-1))</f>
        <v>42478.1571326119</v>
      </c>
      <c r="K114" s="20" t="n">
        <f aca="false">IF($A114&gt;PARAMETROS!$C$33,"",K113*(1+PARAMETROS!$C$36))</f>
        <v>37422.3293897621</v>
      </c>
      <c r="L114" s="20" t="n">
        <f aca="false">IF($A114&gt;PARAMETROS!$C$33,"",L113*(1+PARAMETROS!$C$37)*(1+M114))</f>
        <v>12753.8491428292</v>
      </c>
      <c r="M114" s="21" t="n">
        <f aca="false">IF($A114&gt;PARAMETROS!$C$33,"",IF(C114&lt;70,PARAMETROS!$C$40,IF(C114&lt;75,PARAMETROS!$C$41,IF(C114&lt;80,PARAMETROS!$C$42,IF(C114&lt;85,PARAMETROS!$C$43,IF(C114&lt;90,PARAMETROS!$C$44,PARAMETROS!$C$45))))))</f>
        <v>0.00205983626984274</v>
      </c>
      <c r="N114" s="20" t="n">
        <f aca="false">IF($A114&gt;PARAMETROS!$C$33,"",K114+L114)</f>
        <v>50176.1785325912</v>
      </c>
      <c r="O114" s="20" t="n">
        <f aca="false">IF($A114&gt;PARAMETROS!$C$33,"",I114+J114-N114)</f>
        <v>-3796.96168576062</v>
      </c>
      <c r="P114" s="20" t="n">
        <f aca="false">IF($A114&gt;PARAMETROS!$C$33,"",MAX(E114+I114+J114-N114,0))</f>
        <v>923374.590697949</v>
      </c>
      <c r="Q114" s="22" t="str">
        <f aca="false">IF($A114&gt;PARAMETROS!$C$33,"",IF(P114&lt;=0,"AGOTADO","OK"))</f>
        <v>OK</v>
      </c>
    </row>
    <row r="115" customFormat="false" ht="15" hidden="false" customHeight="false" outlineLevel="0" collapsed="false">
      <c r="A115" s="19" t="n">
        <f aca="false">A114+1</f>
        <v>113</v>
      </c>
      <c r="B115" s="19" t="n">
        <f aca="false">IF($A115="","",ROUNDUP($A115/12,0))</f>
        <v>10</v>
      </c>
      <c r="C115" s="19" t="n">
        <f aca="false">IF($A115="","",PARAMETROS!$C$6+INT(($A115-1)/12))</f>
        <v>74</v>
      </c>
      <c r="D115" s="19" t="n">
        <f aca="false">IF($A115="","",MOD($A115-1,12)+1)</f>
        <v>5</v>
      </c>
      <c r="E115" s="20" t="n">
        <f aca="false">IF($A115&gt;PARAMETROS!$C$33,"",P114)</f>
        <v>923374.590697949</v>
      </c>
      <c r="F115" s="21" t="n">
        <f aca="false">IF($A115&gt;PARAMETROS!$C$33,"",PARAMETROS!$C$38)</f>
        <v>0.00495440818448101</v>
      </c>
      <c r="G115" s="20" t="n">
        <f aca="false">IF($A115&gt;PARAMETROS!$C$33,"",E115*F115)</f>
        <v>4574.77462949572</v>
      </c>
      <c r="H115" s="20" t="n">
        <f aca="false">IF($A115&gt;PARAMETROS!$C$33,"",E115*PARAMETROS!$C$39)</f>
        <v>689.690571810794</v>
      </c>
      <c r="I115" s="20" t="n">
        <f aca="false">IF($A115&gt;PARAMETROS!$C$33,"",G115-H115)</f>
        <v>3885.08405768492</v>
      </c>
      <c r="J115" s="20" t="n">
        <f aca="false">IF($A115&gt;PARAMETROS!$C$33,"",PARAMETROS!$C$9*(1+PARAMETROS!$C$17)^(B115-1))</f>
        <v>42478.1571326119</v>
      </c>
      <c r="K115" s="20" t="n">
        <f aca="false">IF($A115&gt;PARAMETROS!$C$33,"",K114*(1+PARAMETROS!$C$36))</f>
        <v>37550.5515388779</v>
      </c>
      <c r="L115" s="20" t="n">
        <f aca="false">IF($A115&gt;PARAMETROS!$C$33,"",L114*(1+PARAMETROS!$C$37)*(1+M115))</f>
        <v>12830.5571513344</v>
      </c>
      <c r="M115" s="21" t="n">
        <f aca="false">IF($A115&gt;PARAMETROS!$C$33,"",IF(C115&lt;70,PARAMETROS!$C$40,IF(C115&lt;75,PARAMETROS!$C$41,IF(C115&lt;80,PARAMETROS!$C$42,IF(C115&lt;85,PARAMETROS!$C$43,IF(C115&lt;90,PARAMETROS!$C$44,PARAMETROS!$C$45))))))</f>
        <v>0.00205983626984274</v>
      </c>
      <c r="N115" s="20" t="n">
        <f aca="false">IF($A115&gt;PARAMETROS!$C$33,"",K115+L115)</f>
        <v>50381.1086902122</v>
      </c>
      <c r="O115" s="20" t="n">
        <f aca="false">IF($A115&gt;PARAMETROS!$C$33,"",I115+J115-N115)</f>
        <v>-4017.86749991538</v>
      </c>
      <c r="P115" s="20" t="n">
        <f aca="false">IF($A115&gt;PARAMETROS!$C$33,"",MAX(E115+I115+J115-N115,0))</f>
        <v>919356.723198033</v>
      </c>
      <c r="Q115" s="22" t="str">
        <f aca="false">IF($A115&gt;PARAMETROS!$C$33,"",IF(P115&lt;=0,"AGOTADO","OK"))</f>
        <v>OK</v>
      </c>
    </row>
    <row r="116" customFormat="false" ht="15" hidden="false" customHeight="false" outlineLevel="0" collapsed="false">
      <c r="A116" s="19" t="n">
        <f aca="false">A115+1</f>
        <v>114</v>
      </c>
      <c r="B116" s="19" t="n">
        <f aca="false">IF($A116="","",ROUNDUP($A116/12,0))</f>
        <v>10</v>
      </c>
      <c r="C116" s="19" t="n">
        <f aca="false">IF($A116="","",PARAMETROS!$C$6+INT(($A116-1)/12))</f>
        <v>74</v>
      </c>
      <c r="D116" s="19" t="n">
        <f aca="false">IF($A116="","",MOD($A116-1,12)+1)</f>
        <v>6</v>
      </c>
      <c r="E116" s="20" t="n">
        <f aca="false">IF($A116&gt;PARAMETROS!$C$33,"",P115)</f>
        <v>919356.723198033</v>
      </c>
      <c r="F116" s="21" t="n">
        <f aca="false">IF($A116&gt;PARAMETROS!$C$33,"",PARAMETROS!$C$38)</f>
        <v>0.00495440818448101</v>
      </c>
      <c r="G116" s="20" t="n">
        <f aca="false">IF($A116&gt;PARAMETROS!$C$33,"",E116*F116)</f>
        <v>4554.86847386998</v>
      </c>
      <c r="H116" s="20" t="n">
        <f aca="false">IF($A116&gt;PARAMETROS!$C$33,"",E116*PARAMETROS!$C$39)</f>
        <v>686.689530455105</v>
      </c>
      <c r="I116" s="20" t="n">
        <f aca="false">IF($A116&gt;PARAMETROS!$C$33,"",G116-H116)</f>
        <v>3868.17894341487</v>
      </c>
      <c r="J116" s="20" t="n">
        <f aca="false">IF($A116&gt;PARAMETROS!$C$33,"",PARAMETROS!$C$9*(1+PARAMETROS!$C$17)^(B116-1))</f>
        <v>42478.1571326119</v>
      </c>
      <c r="K116" s="20" t="n">
        <f aca="false">IF($A116&gt;PARAMETROS!$C$33,"",K115*(1+PARAMETROS!$C$36))</f>
        <v>37679.213022471</v>
      </c>
      <c r="L116" s="20" t="n">
        <f aca="false">IF($A116&gt;PARAMETROS!$C$33,"",L115*(1+PARAMETROS!$C$37)*(1+M116))</f>
        <v>12907.7265200535</v>
      </c>
      <c r="M116" s="21" t="n">
        <f aca="false">IF($A116&gt;PARAMETROS!$C$33,"",IF(C116&lt;70,PARAMETROS!$C$40,IF(C116&lt;75,PARAMETROS!$C$41,IF(C116&lt;80,PARAMETROS!$C$42,IF(C116&lt;85,PARAMETROS!$C$43,IF(C116&lt;90,PARAMETROS!$C$44,PARAMETROS!$C$45))))))</f>
        <v>0.00205983626984274</v>
      </c>
      <c r="N116" s="20" t="n">
        <f aca="false">IF($A116&gt;PARAMETROS!$C$33,"",K116+L116)</f>
        <v>50586.9395425245</v>
      </c>
      <c r="O116" s="20" t="n">
        <f aca="false">IF($A116&gt;PARAMETROS!$C$33,"",I116+J116-N116)</f>
        <v>-4240.60346649771</v>
      </c>
      <c r="P116" s="20" t="n">
        <f aca="false">IF($A116&gt;PARAMETROS!$C$33,"",MAX(E116+I116+J116-N116,0))</f>
        <v>915116.119731535</v>
      </c>
      <c r="Q116" s="22" t="str">
        <f aca="false">IF($A116&gt;PARAMETROS!$C$33,"",IF(P116&lt;=0,"AGOTADO","OK"))</f>
        <v>OK</v>
      </c>
    </row>
    <row r="117" customFormat="false" ht="15" hidden="false" customHeight="false" outlineLevel="0" collapsed="false">
      <c r="A117" s="19" t="n">
        <f aca="false">A116+1</f>
        <v>115</v>
      </c>
      <c r="B117" s="19" t="n">
        <f aca="false">IF($A117="","",ROUNDUP($A117/12,0))</f>
        <v>10</v>
      </c>
      <c r="C117" s="19" t="n">
        <f aca="false">IF($A117="","",PARAMETROS!$C$6+INT(($A117-1)/12))</f>
        <v>74</v>
      </c>
      <c r="D117" s="19" t="n">
        <f aca="false">IF($A117="","",MOD($A117-1,12)+1)</f>
        <v>7</v>
      </c>
      <c r="E117" s="20" t="n">
        <f aca="false">IF($A117&gt;PARAMETROS!$C$33,"",P116)</f>
        <v>915116.119731535</v>
      </c>
      <c r="F117" s="21" t="n">
        <f aca="false">IF($A117&gt;PARAMETROS!$C$33,"",PARAMETROS!$C$38)</f>
        <v>0.00495440818448101</v>
      </c>
      <c r="G117" s="20" t="n">
        <f aca="false">IF($A117&gt;PARAMETROS!$C$33,"",E117*F117)</f>
        <v>4533.85879334842</v>
      </c>
      <c r="H117" s="20" t="n">
        <f aca="false">IF($A117&gt;PARAMETROS!$C$33,"",E117*PARAMETROS!$C$39)</f>
        <v>683.522122277433</v>
      </c>
      <c r="I117" s="20" t="n">
        <f aca="false">IF($A117&gt;PARAMETROS!$C$33,"",G117-H117)</f>
        <v>3850.33667107099</v>
      </c>
      <c r="J117" s="20" t="n">
        <f aca="false">IF($A117&gt;PARAMETROS!$C$33,"",PARAMETROS!$C$9*(1+PARAMETROS!$C$17)^(B117-1))</f>
        <v>42478.1571326119</v>
      </c>
      <c r="K117" s="20" t="n">
        <f aca="false">IF($A117&gt;PARAMETROS!$C$33,"",K116*(1+PARAMETROS!$C$36))</f>
        <v>37808.315345857</v>
      </c>
      <c r="L117" s="20" t="n">
        <f aca="false">IF($A117&gt;PARAMETROS!$C$33,"",L116*(1+PARAMETROS!$C$37)*(1+M117))</f>
        <v>12985.3600238369</v>
      </c>
      <c r="M117" s="21" t="n">
        <f aca="false">IF($A117&gt;PARAMETROS!$C$33,"",IF(C117&lt;70,PARAMETROS!$C$40,IF(C117&lt;75,PARAMETROS!$C$41,IF(C117&lt;80,PARAMETROS!$C$42,IF(C117&lt;85,PARAMETROS!$C$43,IF(C117&lt;90,PARAMETROS!$C$44,PARAMETROS!$C$45))))))</f>
        <v>0.00205983626984274</v>
      </c>
      <c r="N117" s="20" t="n">
        <f aca="false">IF($A117&gt;PARAMETROS!$C$33,"",K117+L117)</f>
        <v>50793.6753696939</v>
      </c>
      <c r="O117" s="20" t="n">
        <f aca="false">IF($A117&gt;PARAMETROS!$C$33,"",I117+J117-N117)</f>
        <v>-4465.18156601097</v>
      </c>
      <c r="P117" s="20" t="n">
        <f aca="false">IF($A117&gt;PARAMETROS!$C$33,"",MAX(E117+I117+J117-N117,0))</f>
        <v>910650.938165524</v>
      </c>
      <c r="Q117" s="22" t="str">
        <f aca="false">IF($A117&gt;PARAMETROS!$C$33,"",IF(P117&lt;=0,"AGOTADO","OK"))</f>
        <v>OK</v>
      </c>
    </row>
    <row r="118" customFormat="false" ht="15" hidden="false" customHeight="false" outlineLevel="0" collapsed="false">
      <c r="A118" s="19" t="n">
        <f aca="false">A117+1</f>
        <v>116</v>
      </c>
      <c r="B118" s="19" t="n">
        <f aca="false">IF($A118="","",ROUNDUP($A118/12,0))</f>
        <v>10</v>
      </c>
      <c r="C118" s="19" t="n">
        <f aca="false">IF($A118="","",PARAMETROS!$C$6+INT(($A118-1)/12))</f>
        <v>74</v>
      </c>
      <c r="D118" s="19" t="n">
        <f aca="false">IF($A118="","",MOD($A118-1,12)+1)</f>
        <v>8</v>
      </c>
      <c r="E118" s="20" t="n">
        <f aca="false">IF($A118&gt;PARAMETROS!$C$33,"",P117)</f>
        <v>910650.938165524</v>
      </c>
      <c r="F118" s="21" t="n">
        <f aca="false">IF($A118&gt;PARAMETROS!$C$33,"",PARAMETROS!$C$38)</f>
        <v>0.00495440818448101</v>
      </c>
      <c r="G118" s="20" t="n">
        <f aca="false">IF($A118&gt;PARAMETROS!$C$33,"",E118*F118)</f>
        <v>4511.73646125258</v>
      </c>
      <c r="H118" s="20" t="n">
        <f aca="false">IF($A118&gt;PARAMETROS!$C$33,"",E118*PARAMETROS!$C$39)</f>
        <v>680.186971344621</v>
      </c>
      <c r="I118" s="20" t="n">
        <f aca="false">IF($A118&gt;PARAMETROS!$C$33,"",G118-H118)</f>
        <v>3831.54948990796</v>
      </c>
      <c r="J118" s="20" t="n">
        <f aca="false">IF($A118&gt;PARAMETROS!$C$33,"",PARAMETROS!$C$9*(1+PARAMETROS!$C$17)^(B118-1))</f>
        <v>42478.1571326119</v>
      </c>
      <c r="K118" s="20" t="n">
        <f aca="false">IF($A118&gt;PARAMETROS!$C$33,"",K117*(1+PARAMETROS!$C$36))</f>
        <v>37937.8600195089</v>
      </c>
      <c r="L118" s="20" t="n">
        <f aca="false">IF($A118&gt;PARAMETROS!$C$33,"",L117*(1+PARAMETROS!$C$37)*(1+M118))</f>
        <v>13063.4604542244</v>
      </c>
      <c r="M118" s="21" t="n">
        <f aca="false">IF($A118&gt;PARAMETROS!$C$33,"",IF(C118&lt;70,PARAMETROS!$C$40,IF(C118&lt;75,PARAMETROS!$C$41,IF(C118&lt;80,PARAMETROS!$C$42,IF(C118&lt;85,PARAMETROS!$C$43,IF(C118&lt;90,PARAMETROS!$C$44,PARAMETROS!$C$45))))))</f>
        <v>0.00205983626984274</v>
      </c>
      <c r="N118" s="20" t="n">
        <f aca="false">IF($A118&gt;PARAMETROS!$C$33,"",K118+L118)</f>
        <v>51001.3204737333</v>
      </c>
      <c r="O118" s="20" t="n">
        <f aca="false">IF($A118&gt;PARAMETROS!$C$33,"",I118+J118-N118)</f>
        <v>-4691.61385121342</v>
      </c>
      <c r="P118" s="20" t="n">
        <f aca="false">IF($A118&gt;PARAMETROS!$C$33,"",MAX(E118+I118+J118-N118,0))</f>
        <v>905959.324314311</v>
      </c>
      <c r="Q118" s="22" t="str">
        <f aca="false">IF($A118&gt;PARAMETROS!$C$33,"",IF(P118&lt;=0,"AGOTADO","OK"))</f>
        <v>OK</v>
      </c>
    </row>
    <row r="119" customFormat="false" ht="15" hidden="false" customHeight="false" outlineLevel="0" collapsed="false">
      <c r="A119" s="19" t="n">
        <f aca="false">A118+1</f>
        <v>117</v>
      </c>
      <c r="B119" s="19" t="n">
        <f aca="false">IF($A119="","",ROUNDUP($A119/12,0))</f>
        <v>10</v>
      </c>
      <c r="C119" s="19" t="n">
        <f aca="false">IF($A119="","",PARAMETROS!$C$6+INT(($A119-1)/12))</f>
        <v>74</v>
      </c>
      <c r="D119" s="19" t="n">
        <f aca="false">IF($A119="","",MOD($A119-1,12)+1)</f>
        <v>9</v>
      </c>
      <c r="E119" s="20" t="n">
        <f aca="false">IF($A119&gt;PARAMETROS!$C$33,"",P118)</f>
        <v>905959.324314311</v>
      </c>
      <c r="F119" s="21" t="n">
        <f aca="false">IF($A119&gt;PARAMETROS!$C$33,"",PARAMETROS!$C$38)</f>
        <v>0.00495440818448101</v>
      </c>
      <c r="G119" s="20" t="n">
        <f aca="false">IF($A119&gt;PARAMETROS!$C$33,"",E119*F119)</f>
        <v>4488.49229118971</v>
      </c>
      <c r="H119" s="20" t="n">
        <f aca="false">IF($A119&gt;PARAMETROS!$C$33,"",E119*PARAMETROS!$C$39)</f>
        <v>676.68269272102</v>
      </c>
      <c r="I119" s="20" t="n">
        <f aca="false">IF($A119&gt;PARAMETROS!$C$33,"",G119-H119)</f>
        <v>3811.80959846869</v>
      </c>
      <c r="J119" s="20" t="n">
        <f aca="false">IF($A119&gt;PARAMETROS!$C$33,"",PARAMETROS!$C$9*(1+PARAMETROS!$C$17)^(B119-1))</f>
        <v>42478.1571326119</v>
      </c>
      <c r="K119" s="20" t="n">
        <f aca="false">IF($A119&gt;PARAMETROS!$C$33,"",K118*(1+PARAMETROS!$C$36))</f>
        <v>38067.8485590755</v>
      </c>
      <c r="L119" s="20" t="n">
        <f aca="false">IF($A119&gt;PARAMETROS!$C$33,"",L118*(1+PARAMETROS!$C$37)*(1+M119))</f>
        <v>13142.0306195453</v>
      </c>
      <c r="M119" s="21" t="n">
        <f aca="false">IF($A119&gt;PARAMETROS!$C$33,"",IF(C119&lt;70,PARAMETROS!$C$40,IF(C119&lt;75,PARAMETROS!$C$41,IF(C119&lt;80,PARAMETROS!$C$42,IF(C119&lt;85,PARAMETROS!$C$43,IF(C119&lt;90,PARAMETROS!$C$44,PARAMETROS!$C$45))))))</f>
        <v>0.00205983626984274</v>
      </c>
      <c r="N119" s="20" t="n">
        <f aca="false">IF($A119&gt;PARAMETROS!$C$33,"",K119+L119)</f>
        <v>51209.8791786208</v>
      </c>
      <c r="O119" s="20" t="n">
        <f aca="false">IF($A119&gt;PARAMETROS!$C$33,"",I119+J119-N119)</f>
        <v>-4919.91244754021</v>
      </c>
      <c r="P119" s="20" t="n">
        <f aca="false">IF($A119&gt;PARAMETROS!$C$33,"",MAX(E119+I119+J119-N119,0))</f>
        <v>901039.411866771</v>
      </c>
      <c r="Q119" s="22" t="str">
        <f aca="false">IF($A119&gt;PARAMETROS!$C$33,"",IF(P119&lt;=0,"AGOTADO","OK"))</f>
        <v>OK</v>
      </c>
    </row>
    <row r="120" customFormat="false" ht="15" hidden="false" customHeight="false" outlineLevel="0" collapsed="false">
      <c r="A120" s="19" t="n">
        <f aca="false">A119+1</f>
        <v>118</v>
      </c>
      <c r="B120" s="19" t="n">
        <f aca="false">IF($A120="","",ROUNDUP($A120/12,0))</f>
        <v>10</v>
      </c>
      <c r="C120" s="19" t="n">
        <f aca="false">IF($A120="","",PARAMETROS!$C$6+INT(($A120-1)/12))</f>
        <v>74</v>
      </c>
      <c r="D120" s="19" t="n">
        <f aca="false">IF($A120="","",MOD($A120-1,12)+1)</f>
        <v>10</v>
      </c>
      <c r="E120" s="20" t="n">
        <f aca="false">IF($A120&gt;PARAMETROS!$C$33,"",P119)</f>
        <v>901039.411866771</v>
      </c>
      <c r="F120" s="21" t="n">
        <f aca="false">IF($A120&gt;PARAMETROS!$C$33,"",PARAMETROS!$C$38)</f>
        <v>0.00495440818448101</v>
      </c>
      <c r="G120" s="20" t="n">
        <f aca="false">IF($A120&gt;PARAMETROS!$C$33,"",E120*F120)</f>
        <v>4464.11703669268</v>
      </c>
      <c r="H120" s="20" t="n">
        <f aca="false">IF($A120&gt;PARAMETROS!$C$33,"",E120*PARAMETROS!$C$39)</f>
        <v>673.007892414204</v>
      </c>
      <c r="I120" s="20" t="n">
        <f aca="false">IF($A120&gt;PARAMETROS!$C$33,"",G120-H120)</f>
        <v>3791.10914427848</v>
      </c>
      <c r="J120" s="20" t="n">
        <f aca="false">IF($A120&gt;PARAMETROS!$C$33,"",PARAMETROS!$C$9*(1+PARAMETROS!$C$17)^(B120-1))</f>
        <v>42478.1571326119</v>
      </c>
      <c r="K120" s="20" t="n">
        <f aca="false">IF($A120&gt;PARAMETROS!$C$33,"",K119*(1+PARAMETROS!$C$36))</f>
        <v>38198.2824853985</v>
      </c>
      <c r="L120" s="20" t="n">
        <f aca="false">IF($A120&gt;PARAMETROS!$C$33,"",L119*(1+PARAMETROS!$C$37)*(1+M120))</f>
        <v>13221.0733450198</v>
      </c>
      <c r="M120" s="21" t="n">
        <f aca="false">IF($A120&gt;PARAMETROS!$C$33,"",IF(C120&lt;70,PARAMETROS!$C$40,IF(C120&lt;75,PARAMETROS!$C$41,IF(C120&lt;80,PARAMETROS!$C$42,IF(C120&lt;85,PARAMETROS!$C$43,IF(C120&lt;90,PARAMETROS!$C$44,PARAMETROS!$C$45))))))</f>
        <v>0.00205983626984274</v>
      </c>
      <c r="N120" s="20" t="n">
        <f aca="false">IF($A120&gt;PARAMETROS!$C$33,"",K120+L120)</f>
        <v>51419.3558304183</v>
      </c>
      <c r="O120" s="20" t="n">
        <f aca="false">IF($A120&gt;PARAMETROS!$C$33,"",I120+J120-N120)</f>
        <v>-5150.0895535279</v>
      </c>
      <c r="P120" s="20" t="n">
        <f aca="false">IF($A120&gt;PARAMETROS!$C$33,"",MAX(E120+I120+J120-N120,0))</f>
        <v>895889.322313243</v>
      </c>
      <c r="Q120" s="22" t="str">
        <f aca="false">IF($A120&gt;PARAMETROS!$C$33,"",IF(P120&lt;=0,"AGOTADO","OK"))</f>
        <v>OK</v>
      </c>
    </row>
    <row r="121" customFormat="false" ht="15" hidden="false" customHeight="false" outlineLevel="0" collapsed="false">
      <c r="A121" s="19" t="n">
        <f aca="false">A120+1</f>
        <v>119</v>
      </c>
      <c r="B121" s="19" t="n">
        <f aca="false">IF($A121="","",ROUNDUP($A121/12,0))</f>
        <v>10</v>
      </c>
      <c r="C121" s="19" t="n">
        <f aca="false">IF($A121="","",PARAMETROS!$C$6+INT(($A121-1)/12))</f>
        <v>74</v>
      </c>
      <c r="D121" s="19" t="n">
        <f aca="false">IF($A121="","",MOD($A121-1,12)+1)</f>
        <v>11</v>
      </c>
      <c r="E121" s="20" t="n">
        <f aca="false">IF($A121&gt;PARAMETROS!$C$33,"",P120)</f>
        <v>895889.322313243</v>
      </c>
      <c r="F121" s="21" t="n">
        <f aca="false">IF($A121&gt;PARAMETROS!$C$33,"",PARAMETROS!$C$38)</f>
        <v>0.00495440818448101</v>
      </c>
      <c r="G121" s="20" t="n">
        <f aca="false">IF($A121&gt;PARAMETROS!$C$33,"",E121*F121)</f>
        <v>4438.60139085787</v>
      </c>
      <c r="H121" s="20" t="n">
        <f aca="false">IF($A121&gt;PARAMETROS!$C$33,"",E121*PARAMETROS!$C$39)</f>
        <v>669.161167320367</v>
      </c>
      <c r="I121" s="20" t="n">
        <f aca="false">IF($A121&gt;PARAMETROS!$C$33,"",G121-H121)</f>
        <v>3769.44022353751</v>
      </c>
      <c r="J121" s="20" t="n">
        <f aca="false">IF($A121&gt;PARAMETROS!$C$33,"",PARAMETROS!$C$9*(1+PARAMETROS!$C$17)^(B121-1))</f>
        <v>42478.1571326119</v>
      </c>
      <c r="K121" s="20" t="n">
        <f aca="false">IF($A121&gt;PARAMETROS!$C$33,"",K120*(1+PARAMETROS!$C$36))</f>
        <v>38329.1633245306</v>
      </c>
      <c r="L121" s="20" t="n">
        <f aca="false">IF($A121&gt;PARAMETROS!$C$33,"",L120*(1+PARAMETROS!$C$37)*(1+M121))</f>
        <v>13300.5914728603</v>
      </c>
      <c r="M121" s="21" t="n">
        <f aca="false">IF($A121&gt;PARAMETROS!$C$33,"",IF(C121&lt;70,PARAMETROS!$C$40,IF(C121&lt;75,PARAMETROS!$C$41,IF(C121&lt;80,PARAMETROS!$C$42,IF(C121&lt;85,PARAMETROS!$C$43,IF(C121&lt;90,PARAMETROS!$C$44,PARAMETROS!$C$45))))))</f>
        <v>0.00205983626984274</v>
      </c>
      <c r="N121" s="20" t="n">
        <f aca="false">IF($A121&gt;PARAMETROS!$C$33,"",K121+L121)</f>
        <v>51629.7547973909</v>
      </c>
      <c r="O121" s="20" t="n">
        <f aca="false">IF($A121&gt;PARAMETROS!$C$33,"",I121+J121-N121)</f>
        <v>-5382.15744124145</v>
      </c>
      <c r="P121" s="20" t="n">
        <f aca="false">IF($A121&gt;PARAMETROS!$C$33,"",MAX(E121+I121+J121-N121,0))</f>
        <v>890507.164872002</v>
      </c>
      <c r="Q121" s="22" t="str">
        <f aca="false">IF($A121&gt;PARAMETROS!$C$33,"",IF(P121&lt;=0,"AGOTADO","OK"))</f>
        <v>OK</v>
      </c>
    </row>
    <row r="122" customFormat="false" ht="15" hidden="false" customHeight="false" outlineLevel="0" collapsed="false">
      <c r="A122" s="19" t="n">
        <f aca="false">A121+1</f>
        <v>120</v>
      </c>
      <c r="B122" s="19" t="n">
        <f aca="false">IF($A122="","",ROUNDUP($A122/12,0))</f>
        <v>10</v>
      </c>
      <c r="C122" s="19" t="n">
        <f aca="false">IF($A122="","",PARAMETROS!$C$6+INT(($A122-1)/12))</f>
        <v>74</v>
      </c>
      <c r="D122" s="19" t="n">
        <f aca="false">IF($A122="","",MOD($A122-1,12)+1)</f>
        <v>12</v>
      </c>
      <c r="E122" s="20" t="n">
        <f aca="false">IF($A122&gt;PARAMETROS!$C$33,"",P121)</f>
        <v>890507.164872002</v>
      </c>
      <c r="F122" s="21" t="n">
        <f aca="false">IF($A122&gt;PARAMETROS!$C$33,"",PARAMETROS!$C$38)</f>
        <v>0.00495440818448101</v>
      </c>
      <c r="G122" s="20" t="n">
        <f aca="false">IF($A122&gt;PARAMETROS!$C$33,"",E122*F122)</f>
        <v>4411.93598598082</v>
      </c>
      <c r="H122" s="20" t="n">
        <f aca="false">IF($A122&gt;PARAMETROS!$C$33,"",E122*PARAMETROS!$C$39)</f>
        <v>665.141105169404</v>
      </c>
      <c r="I122" s="20" t="n">
        <f aca="false">IF($A122&gt;PARAMETROS!$C$33,"",G122-H122)</f>
        <v>3746.79488081142</v>
      </c>
      <c r="J122" s="20" t="n">
        <f aca="false">IF($A122&gt;PARAMETROS!$C$33,"",PARAMETROS!$C$9*(1+PARAMETROS!$C$17)^(B122-1))</f>
        <v>42478.1571326119</v>
      </c>
      <c r="K122" s="20" t="n">
        <f aca="false">IF($A122&gt;PARAMETROS!$C$33,"",K121*(1+PARAMETROS!$C$36))</f>
        <v>38460.4926077533</v>
      </c>
      <c r="L122" s="20" t="n">
        <f aca="false">IF($A122&gt;PARAMETROS!$C$33,"",L121*(1+PARAMETROS!$C$37)*(1+M122))</f>
        <v>13380.5878623737</v>
      </c>
      <c r="M122" s="21" t="n">
        <f aca="false">IF($A122&gt;PARAMETROS!$C$33,"",IF(C122&lt;70,PARAMETROS!$C$40,IF(C122&lt;75,PARAMETROS!$C$41,IF(C122&lt;80,PARAMETROS!$C$42,IF(C122&lt;85,PARAMETROS!$C$43,IF(C122&lt;90,PARAMETROS!$C$44,PARAMETROS!$C$45))))))</f>
        <v>0.00205983626984274</v>
      </c>
      <c r="N122" s="20" t="n">
        <f aca="false">IF($A122&gt;PARAMETROS!$C$33,"",K122+L122)</f>
        <v>51841.0804701269</v>
      </c>
      <c r="O122" s="20" t="n">
        <f aca="false">IF($A122&gt;PARAMETROS!$C$33,"",I122+J122-N122)</f>
        <v>-5616.1284567036</v>
      </c>
      <c r="P122" s="20" t="n">
        <f aca="false">IF($A122&gt;PARAMETROS!$C$33,"",MAX(E122+I122+J122-N122,0))</f>
        <v>884891.036415298</v>
      </c>
      <c r="Q122" s="22" t="str">
        <f aca="false">IF($A122&gt;PARAMETROS!$C$33,"",IF(P122&lt;=0,"AGOTADO","OK"))</f>
        <v>OK</v>
      </c>
    </row>
    <row r="123" customFormat="false" ht="15" hidden="false" customHeight="false" outlineLevel="0" collapsed="false">
      <c r="A123" s="15" t="n">
        <f aca="false">A122+1</f>
        <v>121</v>
      </c>
      <c r="B123" s="15" t="n">
        <f aca="false">IF($A123="","",ROUNDUP($A123/12,0))</f>
        <v>11</v>
      </c>
      <c r="C123" s="15" t="n">
        <f aca="false">IF($A123="","",PARAMETROS!$C$6+INT(($A123-1)/12))</f>
        <v>75</v>
      </c>
      <c r="D123" s="15" t="n">
        <f aca="false">IF($A123="","",MOD($A123-1,12)+1)</f>
        <v>1</v>
      </c>
      <c r="E123" s="16" t="n">
        <f aca="false">IF($A123&gt;PARAMETROS!$C$33,"",P122)</f>
        <v>884891.036415298</v>
      </c>
      <c r="F123" s="17" t="n">
        <f aca="false">IF($A123&gt;PARAMETROS!$C$33,"",PARAMETROS!$C$38)</f>
        <v>0.00495440818448101</v>
      </c>
      <c r="G123" s="16" t="n">
        <f aca="false">IF($A123&gt;PARAMETROS!$C$33,"",E123*F123)</f>
        <v>4384.11139318983</v>
      </c>
      <c r="H123" s="16" t="n">
        <f aca="false">IF($A123&gt;PARAMETROS!$C$33,"",E123*PARAMETROS!$C$39)</f>
        <v>660.946284469672</v>
      </c>
      <c r="I123" s="16" t="n">
        <f aca="false">IF($A123&gt;PARAMETROS!$C$33,"",G123-H123)</f>
        <v>3723.16510872016</v>
      </c>
      <c r="J123" s="16" t="n">
        <f aca="false">IF($A123&gt;PARAMETROS!$C$33,"",PARAMETROS!$C$9*(1+PARAMETROS!$C$17)^(B123-1))</f>
        <v>44151.7965236368</v>
      </c>
      <c r="K123" s="16" t="n">
        <f aca="false">IF($A123&gt;PARAMETROS!$C$33,"",K122*(1+PARAMETROS!$C$36))</f>
        <v>38592.2718715948</v>
      </c>
      <c r="L123" s="16" t="n">
        <f aca="false">IF($A123&gt;PARAMETROS!$C$33,"",L122*(1+PARAMETROS!$C$37)*(1+M123))</f>
        <v>13455.5811399025</v>
      </c>
      <c r="M123" s="17" t="n">
        <f aca="false">IF($A123&gt;PARAMETROS!$C$33,"",IF(C123&lt;70,PARAMETROS!$C$40,IF(C123&lt;75,PARAMETROS!$C$41,IF(C123&lt;80,PARAMETROS!$C$42,IF(C123&lt;85,PARAMETROS!$C$43,IF(C123&lt;90,PARAMETROS!$C$44,PARAMETROS!$C$45))))))</f>
        <v>0.00165158130192022</v>
      </c>
      <c r="N123" s="16" t="n">
        <f aca="false">IF($A123&gt;PARAMETROS!$C$33,"",K123+L123)</f>
        <v>52047.8530114973</v>
      </c>
      <c r="O123" s="16" t="n">
        <f aca="false">IF($A123&gt;PARAMETROS!$C$33,"",I123+J123-N123)</f>
        <v>-4172.89137914027</v>
      </c>
      <c r="P123" s="16" t="n">
        <f aca="false">IF($A123&gt;PARAMETROS!$C$33,"",MAX(E123+I123+J123-N123,0))</f>
        <v>880718.145036158</v>
      </c>
      <c r="Q123" s="18" t="str">
        <f aca="false">IF($A123&gt;PARAMETROS!$C$33,"",IF(P123&lt;=0,"AGOTADO","OK"))</f>
        <v>OK</v>
      </c>
    </row>
    <row r="124" customFormat="false" ht="15" hidden="false" customHeight="false" outlineLevel="0" collapsed="false">
      <c r="A124" s="15" t="n">
        <f aca="false">A123+1</f>
        <v>122</v>
      </c>
      <c r="B124" s="15" t="n">
        <f aca="false">IF($A124="","",ROUNDUP($A124/12,0))</f>
        <v>11</v>
      </c>
      <c r="C124" s="15" t="n">
        <f aca="false">IF($A124="","",PARAMETROS!$C$6+INT(($A124-1)/12))</f>
        <v>75</v>
      </c>
      <c r="D124" s="15" t="n">
        <f aca="false">IF($A124="","",MOD($A124-1,12)+1)</f>
        <v>2</v>
      </c>
      <c r="E124" s="16" t="n">
        <f aca="false">IF($A124&gt;PARAMETROS!$C$33,"",P123)</f>
        <v>880718.145036158</v>
      </c>
      <c r="F124" s="17" t="n">
        <f aca="false">IF($A124&gt;PARAMETROS!$C$33,"",PARAMETROS!$C$38)</f>
        <v>0.00495440818448101</v>
      </c>
      <c r="G124" s="16" t="n">
        <f aca="false">IF($A124&gt;PARAMETROS!$C$33,"",E124*F124)</f>
        <v>4363.43718598807</v>
      </c>
      <c r="H124" s="16" t="n">
        <f aca="false">IF($A124&gt;PARAMETROS!$C$33,"",E124*PARAMETROS!$C$39)</f>
        <v>657.829452069932</v>
      </c>
      <c r="I124" s="16" t="n">
        <f aca="false">IF($A124&gt;PARAMETROS!$C$33,"",G124-H124)</f>
        <v>3705.60773391814</v>
      </c>
      <c r="J124" s="16" t="n">
        <f aca="false">IF($A124&gt;PARAMETROS!$C$33,"",PARAMETROS!$C$9*(1+PARAMETROS!$C$17)^(B124-1))</f>
        <v>44151.7965236368</v>
      </c>
      <c r="K124" s="16" t="n">
        <f aca="false">IF($A124&gt;PARAMETROS!$C$33,"",K123*(1+PARAMETROS!$C$36))</f>
        <v>38724.502657848</v>
      </c>
      <c r="L124" s="16" t="n">
        <f aca="false">IF($A124&gt;PARAMETROS!$C$33,"",L123*(1+PARAMETROS!$C$37)*(1+M124))</f>
        <v>13530.9947271914</v>
      </c>
      <c r="M124" s="17" t="n">
        <f aca="false">IF($A124&gt;PARAMETROS!$C$33,"",IF(C124&lt;70,PARAMETROS!$C$40,IF(C124&lt;75,PARAMETROS!$C$41,IF(C124&lt;80,PARAMETROS!$C$42,IF(C124&lt;85,PARAMETROS!$C$43,IF(C124&lt;90,PARAMETROS!$C$44,PARAMETROS!$C$45))))))</f>
        <v>0.00165158130192022</v>
      </c>
      <c r="N124" s="16" t="n">
        <f aca="false">IF($A124&gt;PARAMETROS!$C$33,"",K124+L124)</f>
        <v>52255.4973850394</v>
      </c>
      <c r="O124" s="16" t="n">
        <f aca="false">IF($A124&gt;PARAMETROS!$C$33,"",I124+J124-N124)</f>
        <v>-4398.09312748447</v>
      </c>
      <c r="P124" s="16" t="n">
        <f aca="false">IF($A124&gt;PARAMETROS!$C$33,"",MAX(E124+I124+J124-N124,0))</f>
        <v>876320.051908673</v>
      </c>
      <c r="Q124" s="18" t="str">
        <f aca="false">IF($A124&gt;PARAMETROS!$C$33,"",IF(P124&lt;=0,"AGOTADO","OK"))</f>
        <v>OK</v>
      </c>
    </row>
    <row r="125" customFormat="false" ht="15" hidden="false" customHeight="false" outlineLevel="0" collapsed="false">
      <c r="A125" s="15" t="n">
        <f aca="false">A124+1</f>
        <v>123</v>
      </c>
      <c r="B125" s="15" t="n">
        <f aca="false">IF($A125="","",ROUNDUP($A125/12,0))</f>
        <v>11</v>
      </c>
      <c r="C125" s="15" t="n">
        <f aca="false">IF($A125="","",PARAMETROS!$C$6+INT(($A125-1)/12))</f>
        <v>75</v>
      </c>
      <c r="D125" s="15" t="n">
        <f aca="false">IF($A125="","",MOD($A125-1,12)+1)</f>
        <v>3</v>
      </c>
      <c r="E125" s="16" t="n">
        <f aca="false">IF($A125&gt;PARAMETROS!$C$33,"",P124)</f>
        <v>876320.051908673</v>
      </c>
      <c r="F125" s="17" t="n">
        <f aca="false">IF($A125&gt;PARAMETROS!$C$33,"",PARAMETROS!$C$38)</f>
        <v>0.00495440818448101</v>
      </c>
      <c r="G125" s="16" t="n">
        <f aca="false">IF($A125&gt;PARAMETROS!$C$33,"",E125*F125)</f>
        <v>4341.64723740115</v>
      </c>
      <c r="H125" s="16" t="n">
        <f aca="false">IF($A125&gt;PARAMETROS!$C$33,"",E125*PARAMETROS!$C$39)</f>
        <v>654.544411096821</v>
      </c>
      <c r="I125" s="16" t="n">
        <f aca="false">IF($A125&gt;PARAMETROS!$C$33,"",G125-H125)</f>
        <v>3687.10282630433</v>
      </c>
      <c r="J125" s="16" t="n">
        <f aca="false">IF($A125&gt;PARAMETROS!$C$33,"",PARAMETROS!$C$9*(1+PARAMETROS!$C$17)^(B125-1))</f>
        <v>44151.7965236368</v>
      </c>
      <c r="K125" s="16" t="n">
        <f aca="false">IF($A125&gt;PARAMETROS!$C$33,"",K124*(1+PARAMETROS!$C$36))</f>
        <v>38857.1865135887</v>
      </c>
      <c r="L125" s="16" t="n">
        <f aca="false">IF($A125&gt;PARAMETROS!$C$33,"",L124*(1+PARAMETROS!$C$37)*(1+M125))</f>
        <v>13606.8309799222</v>
      </c>
      <c r="M125" s="17" t="n">
        <f aca="false">IF($A125&gt;PARAMETROS!$C$33,"",IF(C125&lt;70,PARAMETROS!$C$40,IF(C125&lt;75,PARAMETROS!$C$41,IF(C125&lt;80,PARAMETROS!$C$42,IF(C125&lt;85,PARAMETROS!$C$43,IF(C125&lt;90,PARAMETROS!$C$44,PARAMETROS!$C$45))))))</f>
        <v>0.00165158130192022</v>
      </c>
      <c r="N125" s="16" t="n">
        <f aca="false">IF($A125&gt;PARAMETROS!$C$33,"",K125+L125)</f>
        <v>52464.0174935108</v>
      </c>
      <c r="O125" s="16" t="n">
        <f aca="false">IF($A125&gt;PARAMETROS!$C$33,"",I125+J125-N125)</f>
        <v>-4625.11814356966</v>
      </c>
      <c r="P125" s="16" t="n">
        <f aca="false">IF($A125&gt;PARAMETROS!$C$33,"",MAX(E125+I125+J125-N125,0))</f>
        <v>871694.933765104</v>
      </c>
      <c r="Q125" s="18" t="str">
        <f aca="false">IF($A125&gt;PARAMETROS!$C$33,"",IF(P125&lt;=0,"AGOTADO","OK"))</f>
        <v>OK</v>
      </c>
    </row>
    <row r="126" customFormat="false" ht="15" hidden="false" customHeight="false" outlineLevel="0" collapsed="false">
      <c r="A126" s="15" t="n">
        <f aca="false">A125+1</f>
        <v>124</v>
      </c>
      <c r="B126" s="15" t="n">
        <f aca="false">IF($A126="","",ROUNDUP($A126/12,0))</f>
        <v>11</v>
      </c>
      <c r="C126" s="15" t="n">
        <f aca="false">IF($A126="","",PARAMETROS!$C$6+INT(($A126-1)/12))</f>
        <v>75</v>
      </c>
      <c r="D126" s="15" t="n">
        <f aca="false">IF($A126="","",MOD($A126-1,12)+1)</f>
        <v>4</v>
      </c>
      <c r="E126" s="16" t="n">
        <f aca="false">IF($A126&gt;PARAMETROS!$C$33,"",P125)</f>
        <v>871694.933765104</v>
      </c>
      <c r="F126" s="17" t="n">
        <f aca="false">IF($A126&gt;PARAMETROS!$C$33,"",PARAMETROS!$C$38)</f>
        <v>0.00495440818448101</v>
      </c>
      <c r="G126" s="16" t="n">
        <f aca="false">IF($A126&gt;PARAMETROS!$C$33,"",E126*F126)</f>
        <v>4318.73251421646</v>
      </c>
      <c r="H126" s="16" t="n">
        <f aca="false">IF($A126&gt;PARAMETROS!$C$33,"",E126*PARAMETROS!$C$39)</f>
        <v>651.089799708046</v>
      </c>
      <c r="I126" s="16" t="n">
        <f aca="false">IF($A126&gt;PARAMETROS!$C$33,"",G126-H126)</f>
        <v>3667.64271450841</v>
      </c>
      <c r="J126" s="16" t="n">
        <f aca="false">IF($A126&gt;PARAMETROS!$C$33,"",PARAMETROS!$C$9*(1+PARAMETROS!$C$17)^(B126-1))</f>
        <v>44151.7965236368</v>
      </c>
      <c r="K126" s="16" t="n">
        <f aca="false">IF($A126&gt;PARAMETROS!$C$33,"",K125*(1+PARAMETROS!$C$36))</f>
        <v>38990.3249911931</v>
      </c>
      <c r="L126" s="16" t="n">
        <f aca="false">IF($A126&gt;PARAMETROS!$C$33,"",L125*(1+PARAMETROS!$C$37)*(1+M126))</f>
        <v>13683.0922669792</v>
      </c>
      <c r="M126" s="17" t="n">
        <f aca="false">IF($A126&gt;PARAMETROS!$C$33,"",IF(C126&lt;70,PARAMETROS!$C$40,IF(C126&lt;75,PARAMETROS!$C$41,IF(C126&lt;80,PARAMETROS!$C$42,IF(C126&lt;85,PARAMETROS!$C$43,IF(C126&lt;90,PARAMETROS!$C$44,PARAMETROS!$C$45))))))</f>
        <v>0.00165158130192022</v>
      </c>
      <c r="N126" s="16" t="n">
        <f aca="false">IF($A126&gt;PARAMETROS!$C$33,"",K126+L126)</f>
        <v>52673.4172581724</v>
      </c>
      <c r="O126" s="16" t="n">
        <f aca="false">IF($A126&gt;PARAMETROS!$C$33,"",I126+J126-N126)</f>
        <v>-4853.9780200271</v>
      </c>
      <c r="P126" s="16" t="n">
        <f aca="false">IF($A126&gt;PARAMETROS!$C$33,"",MAX(E126+I126+J126-N126,0))</f>
        <v>866840.955745076</v>
      </c>
      <c r="Q126" s="18" t="str">
        <f aca="false">IF($A126&gt;PARAMETROS!$C$33,"",IF(P126&lt;=0,"AGOTADO","OK"))</f>
        <v>OK</v>
      </c>
    </row>
    <row r="127" customFormat="false" ht="15" hidden="false" customHeight="false" outlineLevel="0" collapsed="false">
      <c r="A127" s="15" t="n">
        <f aca="false">A126+1</f>
        <v>125</v>
      </c>
      <c r="B127" s="15" t="n">
        <f aca="false">IF($A127="","",ROUNDUP($A127/12,0))</f>
        <v>11</v>
      </c>
      <c r="C127" s="15" t="n">
        <f aca="false">IF($A127="","",PARAMETROS!$C$6+INT(($A127-1)/12))</f>
        <v>75</v>
      </c>
      <c r="D127" s="15" t="n">
        <f aca="false">IF($A127="","",MOD($A127-1,12)+1)</f>
        <v>5</v>
      </c>
      <c r="E127" s="16" t="n">
        <f aca="false">IF($A127&gt;PARAMETROS!$C$33,"",P126)</f>
        <v>866840.955745076</v>
      </c>
      <c r="F127" s="17" t="n">
        <f aca="false">IF($A127&gt;PARAMETROS!$C$33,"",PARAMETROS!$C$38)</f>
        <v>0.00495440818448101</v>
      </c>
      <c r="G127" s="16" t="n">
        <f aca="false">IF($A127&gt;PARAMETROS!$C$33,"",E127*F127)</f>
        <v>4294.68392578675</v>
      </c>
      <c r="H127" s="16" t="n">
        <f aca="false">IF($A127&gt;PARAMETROS!$C$33,"",E127*PARAMETROS!$C$39)</f>
        <v>647.464247402498</v>
      </c>
      <c r="I127" s="16" t="n">
        <f aca="false">IF($A127&gt;PARAMETROS!$C$33,"",G127-H127)</f>
        <v>3647.21967838425</v>
      </c>
      <c r="J127" s="16" t="n">
        <f aca="false">IF($A127&gt;PARAMETROS!$C$33,"",PARAMETROS!$C$9*(1+PARAMETROS!$C$17)^(B127-1))</f>
        <v>44151.7965236368</v>
      </c>
      <c r="K127" s="16" t="n">
        <f aca="false">IF($A127&gt;PARAMETROS!$C$33,"",K126*(1+PARAMETROS!$C$36))</f>
        <v>39123.9196483568</v>
      </c>
      <c r="L127" s="16" t="n">
        <f aca="false">IF($A127&gt;PARAMETROS!$C$33,"",L126*(1+PARAMETROS!$C$37)*(1+M127))</f>
        <v>13759.7809705238</v>
      </c>
      <c r="M127" s="17" t="n">
        <f aca="false">IF($A127&gt;PARAMETROS!$C$33,"",IF(C127&lt;70,PARAMETROS!$C$40,IF(C127&lt;75,PARAMETROS!$C$41,IF(C127&lt;80,PARAMETROS!$C$42,IF(C127&lt;85,PARAMETROS!$C$43,IF(C127&lt;90,PARAMETROS!$C$44,PARAMETROS!$C$45))))))</f>
        <v>0.00165158130192022</v>
      </c>
      <c r="N127" s="16" t="n">
        <f aca="false">IF($A127&gt;PARAMETROS!$C$33,"",K127+L127)</f>
        <v>52883.7006188807</v>
      </c>
      <c r="O127" s="16" t="n">
        <f aca="false">IF($A127&gt;PARAMETROS!$C$33,"",I127+J127-N127)</f>
        <v>-5084.68441685959</v>
      </c>
      <c r="P127" s="16" t="n">
        <f aca="false">IF($A127&gt;PARAMETROS!$C$33,"",MAX(E127+I127+J127-N127,0))</f>
        <v>861756.271328217</v>
      </c>
      <c r="Q127" s="18" t="str">
        <f aca="false">IF($A127&gt;PARAMETROS!$C$33,"",IF(P127&lt;=0,"AGOTADO","OK"))</f>
        <v>OK</v>
      </c>
    </row>
    <row r="128" customFormat="false" ht="15" hidden="false" customHeight="false" outlineLevel="0" collapsed="false">
      <c r="A128" s="15" t="n">
        <f aca="false">A127+1</f>
        <v>126</v>
      </c>
      <c r="B128" s="15" t="n">
        <f aca="false">IF($A128="","",ROUNDUP($A128/12,0))</f>
        <v>11</v>
      </c>
      <c r="C128" s="15" t="n">
        <f aca="false">IF($A128="","",PARAMETROS!$C$6+INT(($A128-1)/12))</f>
        <v>75</v>
      </c>
      <c r="D128" s="15" t="n">
        <f aca="false">IF($A128="","",MOD($A128-1,12)+1)</f>
        <v>6</v>
      </c>
      <c r="E128" s="16" t="n">
        <f aca="false">IF($A128&gt;PARAMETROS!$C$33,"",P127)</f>
        <v>861756.271328217</v>
      </c>
      <c r="F128" s="17" t="n">
        <f aca="false">IF($A128&gt;PARAMETROS!$C$33,"",PARAMETROS!$C$38)</f>
        <v>0.00495440818448101</v>
      </c>
      <c r="G128" s="16" t="n">
        <f aca="false">IF($A128&gt;PARAMETROS!$C$33,"",E128*F128)</f>
        <v>4269.49232369635</v>
      </c>
      <c r="H128" s="16" t="n">
        <f aca="false">IF($A128&gt;PARAMETROS!$C$33,"",E128*PARAMETROS!$C$39)</f>
        <v>643.666374969934</v>
      </c>
      <c r="I128" s="16" t="n">
        <f aca="false">IF($A128&gt;PARAMETROS!$C$33,"",G128-H128)</f>
        <v>3625.82594872642</v>
      </c>
      <c r="J128" s="16" t="n">
        <f aca="false">IF($A128&gt;PARAMETROS!$C$33,"",PARAMETROS!$C$9*(1+PARAMETROS!$C$17)^(B128-1))</f>
        <v>44151.7965236368</v>
      </c>
      <c r="K128" s="16" t="n">
        <f aca="false">IF($A128&gt;PARAMETROS!$C$33,"",K127*(1+PARAMETROS!$C$36))</f>
        <v>39257.9720481125</v>
      </c>
      <c r="L128" s="16" t="n">
        <f aca="false">IF($A128&gt;PARAMETROS!$C$33,"",L127*(1+PARAMETROS!$C$37)*(1+M128))</f>
        <v>13836.8994860683</v>
      </c>
      <c r="M128" s="17" t="n">
        <f aca="false">IF($A128&gt;PARAMETROS!$C$33,"",IF(C128&lt;70,PARAMETROS!$C$40,IF(C128&lt;75,PARAMETROS!$C$41,IF(C128&lt;80,PARAMETROS!$C$42,IF(C128&lt;85,PARAMETROS!$C$43,IF(C128&lt;90,PARAMETROS!$C$44,PARAMETROS!$C$45))))))</f>
        <v>0.00165158130192022</v>
      </c>
      <c r="N128" s="16" t="n">
        <f aca="false">IF($A128&gt;PARAMETROS!$C$33,"",K128+L128)</f>
        <v>53094.8715341808</v>
      </c>
      <c r="O128" s="16" t="n">
        <f aca="false">IF($A128&gt;PARAMETROS!$C$33,"",I128+J128-N128)</f>
        <v>-5317.24906181753</v>
      </c>
      <c r="P128" s="16" t="n">
        <f aca="false">IF($A128&gt;PARAMETROS!$C$33,"",MAX(E128+I128+J128-N128,0))</f>
        <v>856439.022266399</v>
      </c>
      <c r="Q128" s="18" t="str">
        <f aca="false">IF($A128&gt;PARAMETROS!$C$33,"",IF(P128&lt;=0,"AGOTADO","OK"))</f>
        <v>OK</v>
      </c>
    </row>
    <row r="129" customFormat="false" ht="15" hidden="false" customHeight="false" outlineLevel="0" collapsed="false">
      <c r="A129" s="15" t="n">
        <f aca="false">A128+1</f>
        <v>127</v>
      </c>
      <c r="B129" s="15" t="n">
        <f aca="false">IF($A129="","",ROUNDUP($A129/12,0))</f>
        <v>11</v>
      </c>
      <c r="C129" s="15" t="n">
        <f aca="false">IF($A129="","",PARAMETROS!$C$6+INT(($A129-1)/12))</f>
        <v>75</v>
      </c>
      <c r="D129" s="15" t="n">
        <f aca="false">IF($A129="","",MOD($A129-1,12)+1)</f>
        <v>7</v>
      </c>
      <c r="E129" s="16" t="n">
        <f aca="false">IF($A129&gt;PARAMETROS!$C$33,"",P128)</f>
        <v>856439.022266399</v>
      </c>
      <c r="F129" s="17" t="n">
        <f aca="false">IF($A129&gt;PARAMETROS!$C$33,"",PARAMETROS!$C$38)</f>
        <v>0.00495440818448101</v>
      </c>
      <c r="G129" s="16" t="n">
        <f aca="false">IF($A129&gt;PARAMETROS!$C$33,"",E129*F129)</f>
        <v>4243.14850142556</v>
      </c>
      <c r="H129" s="16" t="n">
        <f aca="false">IF($A129&gt;PARAMETROS!$C$33,"",E129*PARAMETROS!$C$39)</f>
        <v>639.694794440375</v>
      </c>
      <c r="I129" s="16" t="n">
        <f aca="false">IF($A129&gt;PARAMETROS!$C$33,"",G129-H129)</f>
        <v>3603.45370698518</v>
      </c>
      <c r="J129" s="16" t="n">
        <f aca="false">IF($A129&gt;PARAMETROS!$C$33,"",PARAMETROS!$C$9*(1+PARAMETROS!$C$17)^(B129-1))</f>
        <v>44151.7965236368</v>
      </c>
      <c r="K129" s="16" t="n">
        <f aca="false">IF($A129&gt;PARAMETROS!$C$33,"",K128*(1+PARAMETROS!$C$36))</f>
        <v>39392.4837588483</v>
      </c>
      <c r="L129" s="16" t="n">
        <f aca="false">IF($A129&gt;PARAMETROS!$C$33,"",L128*(1+PARAMETROS!$C$37)*(1+M129))</f>
        <v>13914.4502225508</v>
      </c>
      <c r="M129" s="17" t="n">
        <f aca="false">IF($A129&gt;PARAMETROS!$C$33,"",IF(C129&lt;70,PARAMETROS!$C$40,IF(C129&lt;75,PARAMETROS!$C$41,IF(C129&lt;80,PARAMETROS!$C$42,IF(C129&lt;85,PARAMETROS!$C$43,IF(C129&lt;90,PARAMETROS!$C$44,PARAMETROS!$C$45))))))</f>
        <v>0.00165158130192022</v>
      </c>
      <c r="N129" s="16" t="n">
        <f aca="false">IF($A129&gt;PARAMETROS!$C$33,"",K129+L129)</f>
        <v>53306.9339813992</v>
      </c>
      <c r="O129" s="16" t="n">
        <f aca="false">IF($A129&gt;PARAMETROS!$C$33,"",I129+J129-N129)</f>
        <v>-5551.68375077716</v>
      </c>
      <c r="P129" s="16" t="n">
        <f aca="false">IF($A129&gt;PARAMETROS!$C$33,"",MAX(E129+I129+J129-N129,0))</f>
        <v>850887.338515622</v>
      </c>
      <c r="Q129" s="18" t="str">
        <f aca="false">IF($A129&gt;PARAMETROS!$C$33,"",IF(P129&lt;=0,"AGOTADO","OK"))</f>
        <v>OK</v>
      </c>
    </row>
    <row r="130" customFormat="false" ht="15" hidden="false" customHeight="false" outlineLevel="0" collapsed="false">
      <c r="A130" s="15" t="n">
        <f aca="false">A129+1</f>
        <v>128</v>
      </c>
      <c r="B130" s="15" t="n">
        <f aca="false">IF($A130="","",ROUNDUP($A130/12,0))</f>
        <v>11</v>
      </c>
      <c r="C130" s="15" t="n">
        <f aca="false">IF($A130="","",PARAMETROS!$C$6+INT(($A130-1)/12))</f>
        <v>75</v>
      </c>
      <c r="D130" s="15" t="n">
        <f aca="false">IF($A130="","",MOD($A130-1,12)+1)</f>
        <v>8</v>
      </c>
      <c r="E130" s="16" t="n">
        <f aca="false">IF($A130&gt;PARAMETROS!$C$33,"",P129)</f>
        <v>850887.338515622</v>
      </c>
      <c r="F130" s="17" t="n">
        <f aca="false">IF($A130&gt;PARAMETROS!$C$33,"",PARAMETROS!$C$38)</f>
        <v>0.00495440818448101</v>
      </c>
      <c r="G130" s="16" t="n">
        <f aca="false">IF($A130&gt;PARAMETROS!$C$33,"",E130*F130)</f>
        <v>4215.64319401306</v>
      </c>
      <c r="H130" s="16" t="n">
        <f aca="false">IF($A130&gt;PARAMETROS!$C$33,"",E130*PARAMETROS!$C$39)</f>
        <v>635.548109033219</v>
      </c>
      <c r="I130" s="16" t="n">
        <f aca="false">IF($A130&gt;PARAMETROS!$C$33,"",G130-H130)</f>
        <v>3580.09508497984</v>
      </c>
      <c r="J130" s="16" t="n">
        <f aca="false">IF($A130&gt;PARAMETROS!$C$33,"",PARAMETROS!$C$9*(1+PARAMETROS!$C$17)^(B130-1))</f>
        <v>44151.7965236368</v>
      </c>
      <c r="K130" s="16" t="n">
        <f aca="false">IF($A130&gt;PARAMETROS!$C$33,"",K129*(1+PARAMETROS!$C$36))</f>
        <v>39527.4563543263</v>
      </c>
      <c r="L130" s="16" t="n">
        <f aca="false">IF($A130&gt;PARAMETROS!$C$33,"",L129*(1+PARAMETROS!$C$37)*(1+M130))</f>
        <v>13992.4356024111</v>
      </c>
      <c r="M130" s="17" t="n">
        <f aca="false">IF($A130&gt;PARAMETROS!$C$33,"",IF(C130&lt;70,PARAMETROS!$C$40,IF(C130&lt;75,PARAMETROS!$C$41,IF(C130&lt;80,PARAMETROS!$C$42,IF(C130&lt;85,PARAMETROS!$C$43,IF(C130&lt;90,PARAMETROS!$C$44,PARAMETROS!$C$45))))))</f>
        <v>0.00165158130192022</v>
      </c>
      <c r="N130" s="16" t="n">
        <f aca="false">IF($A130&gt;PARAMETROS!$C$33,"",K130+L130)</f>
        <v>53519.8919567374</v>
      </c>
      <c r="O130" s="16" t="n">
        <f aca="false">IF($A130&gt;PARAMETROS!$C$33,"",I130+J130-N130)</f>
        <v>-5788.00034812073</v>
      </c>
      <c r="P130" s="16" t="n">
        <f aca="false">IF($A130&gt;PARAMETROS!$C$33,"",MAX(E130+I130+J130-N130,0))</f>
        <v>845099.338167501</v>
      </c>
      <c r="Q130" s="18" t="str">
        <f aca="false">IF($A130&gt;PARAMETROS!$C$33,"",IF(P130&lt;=0,"AGOTADO","OK"))</f>
        <v>OK</v>
      </c>
    </row>
    <row r="131" customFormat="false" ht="15" hidden="false" customHeight="false" outlineLevel="0" collapsed="false">
      <c r="A131" s="15" t="n">
        <f aca="false">A130+1</f>
        <v>129</v>
      </c>
      <c r="B131" s="15" t="n">
        <f aca="false">IF($A131="","",ROUNDUP($A131/12,0))</f>
        <v>11</v>
      </c>
      <c r="C131" s="15" t="n">
        <f aca="false">IF($A131="","",PARAMETROS!$C$6+INT(($A131-1)/12))</f>
        <v>75</v>
      </c>
      <c r="D131" s="15" t="n">
        <f aca="false">IF($A131="","",MOD($A131-1,12)+1)</f>
        <v>9</v>
      </c>
      <c r="E131" s="16" t="n">
        <f aca="false">IF($A131&gt;PARAMETROS!$C$33,"",P130)</f>
        <v>845099.338167501</v>
      </c>
      <c r="F131" s="17" t="n">
        <f aca="false">IF($A131&gt;PARAMETROS!$C$33,"",PARAMETROS!$C$38)</f>
        <v>0.00495440818448101</v>
      </c>
      <c r="G131" s="16" t="n">
        <f aca="false">IF($A131&gt;PARAMETROS!$C$33,"",E131*F131)</f>
        <v>4186.96707771655</v>
      </c>
      <c r="H131" s="16" t="n">
        <f aca="false">IF($A131&gt;PARAMETROS!$C$33,"",E131*PARAMETROS!$C$39)</f>
        <v>631.224913106072</v>
      </c>
      <c r="I131" s="16" t="n">
        <f aca="false">IF($A131&gt;PARAMETROS!$C$33,"",G131-H131)</f>
        <v>3555.74216461048</v>
      </c>
      <c r="J131" s="16" t="n">
        <f aca="false">IF($A131&gt;PARAMETROS!$C$33,"",PARAMETROS!$C$9*(1+PARAMETROS!$C$17)^(B131-1))</f>
        <v>44151.7965236368</v>
      </c>
      <c r="K131" s="16" t="n">
        <f aca="false">IF($A131&gt;PARAMETROS!$C$33,"",K130*(1+PARAMETROS!$C$36))</f>
        <v>39662.8914137008</v>
      </c>
      <c r="L131" s="16" t="n">
        <f aca="false">IF($A131&gt;PARAMETROS!$C$33,"",L130*(1+PARAMETROS!$C$37)*(1+M131))</f>
        <v>14070.8580616654</v>
      </c>
      <c r="M131" s="17" t="n">
        <f aca="false">IF($A131&gt;PARAMETROS!$C$33,"",IF(C131&lt;70,PARAMETROS!$C$40,IF(C131&lt;75,PARAMETROS!$C$41,IF(C131&lt;80,PARAMETROS!$C$42,IF(C131&lt;85,PARAMETROS!$C$43,IF(C131&lt;90,PARAMETROS!$C$44,PARAMETROS!$C$45))))))</f>
        <v>0.00165158130192022</v>
      </c>
      <c r="N131" s="16" t="n">
        <f aca="false">IF($A131&gt;PARAMETROS!$C$33,"",K131+L131)</f>
        <v>53733.7494753661</v>
      </c>
      <c r="O131" s="16" t="n">
        <f aca="false">IF($A131&gt;PARAMETROS!$C$33,"",I131+J131-N131)</f>
        <v>-6026.21078711883</v>
      </c>
      <c r="P131" s="16" t="n">
        <f aca="false">IF($A131&gt;PARAMETROS!$C$33,"",MAX(E131+I131+J131-N131,0))</f>
        <v>839073.127380383</v>
      </c>
      <c r="Q131" s="18" t="str">
        <f aca="false">IF($A131&gt;PARAMETROS!$C$33,"",IF(P131&lt;=0,"AGOTADO","OK"))</f>
        <v>OK</v>
      </c>
    </row>
    <row r="132" customFormat="false" ht="15" hidden="false" customHeight="false" outlineLevel="0" collapsed="false">
      <c r="A132" s="15" t="n">
        <f aca="false">A131+1</f>
        <v>130</v>
      </c>
      <c r="B132" s="15" t="n">
        <f aca="false">IF($A132="","",ROUNDUP($A132/12,0))</f>
        <v>11</v>
      </c>
      <c r="C132" s="15" t="n">
        <f aca="false">IF($A132="","",PARAMETROS!$C$6+INT(($A132-1)/12))</f>
        <v>75</v>
      </c>
      <c r="D132" s="15" t="n">
        <f aca="false">IF($A132="","",MOD($A132-1,12)+1)</f>
        <v>10</v>
      </c>
      <c r="E132" s="16" t="n">
        <f aca="false">IF($A132&gt;PARAMETROS!$C$33,"",P131)</f>
        <v>839073.127380383</v>
      </c>
      <c r="F132" s="17" t="n">
        <f aca="false">IF($A132&gt;PARAMETROS!$C$33,"",PARAMETROS!$C$38)</f>
        <v>0.00495440818448101</v>
      </c>
      <c r="G132" s="16" t="n">
        <f aca="false">IF($A132&gt;PARAMETROS!$C$33,"",E132*F132)</f>
        <v>4157.11076967144</v>
      </c>
      <c r="H132" s="16" t="n">
        <f aca="false">IF($A132&gt;PARAMETROS!$C$33,"",E132*PARAMETROS!$C$39)</f>
        <v>626.723792103296</v>
      </c>
      <c r="I132" s="16" t="n">
        <f aca="false">IF($A132&gt;PARAMETROS!$C$33,"",G132-H132)</f>
        <v>3530.38697756815</v>
      </c>
      <c r="J132" s="16" t="n">
        <f aca="false">IF($A132&gt;PARAMETROS!$C$33,"",PARAMETROS!$C$9*(1+PARAMETROS!$C$17)^(B132-1))</f>
        <v>44151.7965236368</v>
      </c>
      <c r="K132" s="16" t="n">
        <f aca="false">IF($A132&gt;PARAMETROS!$C$33,"",K131*(1+PARAMETROS!$C$36))</f>
        <v>39798.7905215367</v>
      </c>
      <c r="L132" s="16" t="n">
        <f aca="false">IF($A132&gt;PARAMETROS!$C$33,"",L131*(1+PARAMETROS!$C$37)*(1+M132))</f>
        <v>14149.7200499831</v>
      </c>
      <c r="M132" s="17" t="n">
        <f aca="false">IF($A132&gt;PARAMETROS!$C$33,"",IF(C132&lt;70,PARAMETROS!$C$40,IF(C132&lt;75,PARAMETROS!$C$41,IF(C132&lt;80,PARAMETROS!$C$42,IF(C132&lt;85,PARAMETROS!$C$43,IF(C132&lt;90,PARAMETROS!$C$44,PARAMETROS!$C$45))))))</f>
        <v>0.00165158130192022</v>
      </c>
      <c r="N132" s="16" t="n">
        <f aca="false">IF($A132&gt;PARAMETROS!$C$33,"",K132+L132)</f>
        <v>53948.5105715198</v>
      </c>
      <c r="O132" s="16" t="n">
        <f aca="false">IF($A132&gt;PARAMETROS!$C$33,"",I132+J132-N132)</f>
        <v>-6266.32707031482</v>
      </c>
      <c r="P132" s="16" t="n">
        <f aca="false">IF($A132&gt;PARAMETROS!$C$33,"",MAX(E132+I132+J132-N132,0))</f>
        <v>832806.800310068</v>
      </c>
      <c r="Q132" s="18" t="str">
        <f aca="false">IF($A132&gt;PARAMETROS!$C$33,"",IF(P132&lt;=0,"AGOTADO","OK"))</f>
        <v>OK</v>
      </c>
    </row>
    <row r="133" customFormat="false" ht="15" hidden="false" customHeight="false" outlineLevel="0" collapsed="false">
      <c r="A133" s="15" t="n">
        <f aca="false">A132+1</f>
        <v>131</v>
      </c>
      <c r="B133" s="15" t="n">
        <f aca="false">IF($A133="","",ROUNDUP($A133/12,0))</f>
        <v>11</v>
      </c>
      <c r="C133" s="15" t="n">
        <f aca="false">IF($A133="","",PARAMETROS!$C$6+INT(($A133-1)/12))</f>
        <v>75</v>
      </c>
      <c r="D133" s="15" t="n">
        <f aca="false">IF($A133="","",MOD($A133-1,12)+1)</f>
        <v>11</v>
      </c>
      <c r="E133" s="16" t="n">
        <f aca="false">IF($A133&gt;PARAMETROS!$C$33,"",P132)</f>
        <v>832806.800310068</v>
      </c>
      <c r="F133" s="17" t="n">
        <f aca="false">IF($A133&gt;PARAMETROS!$C$33,"",PARAMETROS!$C$38)</f>
        <v>0.00495440818448101</v>
      </c>
      <c r="G133" s="16" t="n">
        <f aca="false">IF($A133&gt;PARAMETROS!$C$33,"",E133*F133)</f>
        <v>4126.06482754764</v>
      </c>
      <c r="H133" s="16" t="n">
        <f aca="false">IF($A133&gt;PARAMETROS!$C$33,"",E133*PARAMETROS!$C$39)</f>
        <v>622.043322504265</v>
      </c>
      <c r="I133" s="16" t="n">
        <f aca="false">IF($A133&gt;PARAMETROS!$C$33,"",G133-H133)</f>
        <v>3504.02150504337</v>
      </c>
      <c r="J133" s="16" t="n">
        <f aca="false">IF($A133&gt;PARAMETROS!$C$33,"",PARAMETROS!$C$9*(1+PARAMETROS!$C$17)^(B133-1))</f>
        <v>44151.7965236368</v>
      </c>
      <c r="K133" s="16" t="n">
        <f aca="false">IF($A133&gt;PARAMETROS!$C$33,"",K132*(1+PARAMETROS!$C$36))</f>
        <v>39935.1552678284</v>
      </c>
      <c r="L133" s="16" t="n">
        <f aca="false">IF($A133&gt;PARAMETROS!$C$33,"",L132*(1+PARAMETROS!$C$37)*(1+M133))</f>
        <v>14229.0240307632</v>
      </c>
      <c r="M133" s="17" t="n">
        <f aca="false">IF($A133&gt;PARAMETROS!$C$33,"",IF(C133&lt;70,PARAMETROS!$C$40,IF(C133&lt;75,PARAMETROS!$C$41,IF(C133&lt;80,PARAMETROS!$C$42,IF(C133&lt;85,PARAMETROS!$C$43,IF(C133&lt;90,PARAMETROS!$C$44,PARAMETROS!$C$45))))))</f>
        <v>0.00165158130192022</v>
      </c>
      <c r="N133" s="16" t="n">
        <f aca="false">IF($A133&gt;PARAMETROS!$C$33,"",K133+L133)</f>
        <v>54164.1792985916</v>
      </c>
      <c r="O133" s="16" t="n">
        <f aca="false">IF($A133&gt;PARAMETROS!$C$33,"",I133+J133-N133)</f>
        <v>-6508.36126991135</v>
      </c>
      <c r="P133" s="16" t="n">
        <f aca="false">IF($A133&gt;PARAMETROS!$C$33,"",MAX(E133+I133+J133-N133,0))</f>
        <v>826298.439040156</v>
      </c>
      <c r="Q133" s="18" t="str">
        <f aca="false">IF($A133&gt;PARAMETROS!$C$33,"",IF(P133&lt;=0,"AGOTADO","OK"))</f>
        <v>OK</v>
      </c>
    </row>
    <row r="134" customFormat="false" ht="15" hidden="false" customHeight="false" outlineLevel="0" collapsed="false">
      <c r="A134" s="15" t="n">
        <f aca="false">A133+1</f>
        <v>132</v>
      </c>
      <c r="B134" s="15" t="n">
        <f aca="false">IF($A134="","",ROUNDUP($A134/12,0))</f>
        <v>11</v>
      </c>
      <c r="C134" s="15" t="n">
        <f aca="false">IF($A134="","",PARAMETROS!$C$6+INT(($A134-1)/12))</f>
        <v>75</v>
      </c>
      <c r="D134" s="15" t="n">
        <f aca="false">IF($A134="","",MOD($A134-1,12)+1)</f>
        <v>12</v>
      </c>
      <c r="E134" s="16" t="n">
        <f aca="false">IF($A134&gt;PARAMETROS!$C$33,"",P133)</f>
        <v>826298.439040156</v>
      </c>
      <c r="F134" s="17" t="n">
        <f aca="false">IF($A134&gt;PARAMETROS!$C$33,"",PARAMETROS!$C$38)</f>
        <v>0.00495440818448101</v>
      </c>
      <c r="G134" s="16" t="n">
        <f aca="false">IF($A134&gt;PARAMETROS!$C$33,"",E134*F134)</f>
        <v>4093.81974920443</v>
      </c>
      <c r="H134" s="16" t="n">
        <f aca="false">IF($A134&gt;PARAMETROS!$C$33,"",E134*PARAMETROS!$C$39)</f>
        <v>617.182071771338</v>
      </c>
      <c r="I134" s="16" t="n">
        <f aca="false">IF($A134&gt;PARAMETROS!$C$33,"",G134-H134)</f>
        <v>3476.63767743309</v>
      </c>
      <c r="J134" s="16" t="n">
        <f aca="false">IF($A134&gt;PARAMETROS!$C$33,"",PARAMETROS!$C$9*(1+PARAMETROS!$C$17)^(B134-1))</f>
        <v>44151.7965236368</v>
      </c>
      <c r="K134" s="16" t="n">
        <f aca="false">IF($A134&gt;PARAMETROS!$C$33,"",K133*(1+PARAMETROS!$C$36))</f>
        <v>40071.9872480181</v>
      </c>
      <c r="L134" s="16" t="n">
        <f aca="false">IF($A134&gt;PARAMETROS!$C$33,"",L133*(1+PARAMETROS!$C$37)*(1+M134))</f>
        <v>14308.7724812108</v>
      </c>
      <c r="M134" s="17" t="n">
        <f aca="false">IF($A134&gt;PARAMETROS!$C$33,"",IF(C134&lt;70,PARAMETROS!$C$40,IF(C134&lt;75,PARAMETROS!$C$41,IF(C134&lt;80,PARAMETROS!$C$42,IF(C134&lt;85,PARAMETROS!$C$43,IF(C134&lt;90,PARAMETROS!$C$44,PARAMETROS!$C$45))))))</f>
        <v>0.00165158130192022</v>
      </c>
      <c r="N134" s="16" t="n">
        <f aca="false">IF($A134&gt;PARAMETROS!$C$33,"",K134+L134)</f>
        <v>54380.759729229</v>
      </c>
      <c r="O134" s="16" t="n">
        <f aca="false">IF($A134&gt;PARAMETROS!$C$33,"",I134+J134-N134)</f>
        <v>-6752.32552815903</v>
      </c>
      <c r="P134" s="16" t="n">
        <f aca="false">IF($A134&gt;PARAMETROS!$C$33,"",MAX(E134+I134+J134-N134,0))</f>
        <v>819546.113511997</v>
      </c>
      <c r="Q134" s="18" t="str">
        <f aca="false">IF($A134&gt;PARAMETROS!$C$33,"",IF(P134&lt;=0,"AGOTADO","OK"))</f>
        <v>OK</v>
      </c>
    </row>
    <row r="135" customFormat="false" ht="15" hidden="false" customHeight="false" outlineLevel="0" collapsed="false">
      <c r="A135" s="19" t="n">
        <f aca="false">A134+1</f>
        <v>133</v>
      </c>
      <c r="B135" s="19" t="n">
        <f aca="false">IF($A135="","",ROUNDUP($A135/12,0))</f>
        <v>12</v>
      </c>
      <c r="C135" s="19" t="n">
        <f aca="false">IF($A135="","",PARAMETROS!$C$6+INT(($A135-1)/12))</f>
        <v>76</v>
      </c>
      <c r="D135" s="19" t="n">
        <f aca="false">IF($A135="","",MOD($A135-1,12)+1)</f>
        <v>1</v>
      </c>
      <c r="E135" s="20" t="n">
        <f aca="false">IF($A135&gt;PARAMETROS!$C$33,"",P134)</f>
        <v>819546.113511997</v>
      </c>
      <c r="F135" s="21" t="n">
        <f aca="false">IF($A135&gt;PARAMETROS!$C$33,"",PARAMETROS!$C$38)</f>
        <v>0.00495440818448101</v>
      </c>
      <c r="G135" s="20" t="n">
        <f aca="false">IF($A135&gt;PARAMETROS!$C$33,"",E135*F135)</f>
        <v>4060.36597234344</v>
      </c>
      <c r="H135" s="20" t="n">
        <f aca="false">IF($A135&gt;PARAMETROS!$C$33,"",E135*PARAMETROS!$C$39)</f>
        <v>612.138598297536</v>
      </c>
      <c r="I135" s="20" t="n">
        <f aca="false">IF($A135&gt;PARAMETROS!$C$33,"",G135-H135)</f>
        <v>3448.2273740459</v>
      </c>
      <c r="J135" s="20" t="n">
        <f aca="false">IF($A135&gt;PARAMETROS!$C$33,"",PARAMETROS!$C$9*(1+PARAMETROS!$C$17)^(B135-1))</f>
        <v>45891.3773066681</v>
      </c>
      <c r="K135" s="20" t="n">
        <f aca="false">IF($A135&gt;PARAMETROS!$C$33,"",K134*(1+PARAMETROS!$C$36))</f>
        <v>40209.2880630146</v>
      </c>
      <c r="L135" s="20" t="n">
        <f aca="false">IF($A135&gt;PARAMETROS!$C$33,"",L134*(1+PARAMETROS!$C$37)*(1+M135))</f>
        <v>14388.9678924153</v>
      </c>
      <c r="M135" s="21" t="n">
        <f aca="false">IF($A135&gt;PARAMETROS!$C$33,"",IF(C135&lt;70,PARAMETROS!$C$40,IF(C135&lt;75,PARAMETROS!$C$41,IF(C135&lt;80,PARAMETROS!$C$42,IF(C135&lt;85,PARAMETROS!$C$43,IF(C135&lt;90,PARAMETROS!$C$44,PARAMETROS!$C$45))))))</f>
        <v>0.00165158130192022</v>
      </c>
      <c r="N135" s="20" t="n">
        <f aca="false">IF($A135&gt;PARAMETROS!$C$33,"",K135+L135)</f>
        <v>54598.2559554299</v>
      </c>
      <c r="O135" s="20" t="n">
        <f aca="false">IF($A135&gt;PARAMETROS!$C$33,"",I135+J135-N135)</f>
        <v>-5258.65127471583</v>
      </c>
      <c r="P135" s="20" t="n">
        <f aca="false">IF($A135&gt;PARAMETROS!$C$33,"",MAX(E135+I135+J135-N135,0))</f>
        <v>814287.462237281</v>
      </c>
      <c r="Q135" s="22" t="str">
        <f aca="false">IF($A135&gt;PARAMETROS!$C$33,"",IF(P135&lt;=0,"AGOTADO","OK"))</f>
        <v>OK</v>
      </c>
    </row>
    <row r="136" customFormat="false" ht="15" hidden="false" customHeight="false" outlineLevel="0" collapsed="false">
      <c r="A136" s="19" t="n">
        <f aca="false">A135+1</f>
        <v>134</v>
      </c>
      <c r="B136" s="19" t="n">
        <f aca="false">IF($A136="","",ROUNDUP($A136/12,0))</f>
        <v>12</v>
      </c>
      <c r="C136" s="19" t="n">
        <f aca="false">IF($A136="","",PARAMETROS!$C$6+INT(($A136-1)/12))</f>
        <v>76</v>
      </c>
      <c r="D136" s="19" t="n">
        <f aca="false">IF($A136="","",MOD($A136-1,12)+1)</f>
        <v>2</v>
      </c>
      <c r="E136" s="20" t="n">
        <f aca="false">IF($A136&gt;PARAMETROS!$C$33,"",P135)</f>
        <v>814287.462237281</v>
      </c>
      <c r="F136" s="21" t="n">
        <f aca="false">IF($A136&gt;PARAMETROS!$C$33,"",PARAMETROS!$C$38)</f>
        <v>0.00495440818448101</v>
      </c>
      <c r="G136" s="20" t="n">
        <f aca="false">IF($A136&gt;PARAMETROS!$C$33,"",E136*F136)</f>
        <v>4034.31246742866</v>
      </c>
      <c r="H136" s="20" t="n">
        <f aca="false">IF($A136&gt;PARAMETROS!$C$33,"",E136*PARAMETROS!$C$39)</f>
        <v>608.210785857006</v>
      </c>
      <c r="I136" s="20" t="n">
        <f aca="false">IF($A136&gt;PARAMETROS!$C$33,"",G136-H136)</f>
        <v>3426.10168157165</v>
      </c>
      <c r="J136" s="20" t="n">
        <f aca="false">IF($A136&gt;PARAMETROS!$C$33,"",PARAMETROS!$C$9*(1+PARAMETROS!$C$17)^(B136-1))</f>
        <v>45891.3773066681</v>
      </c>
      <c r="K136" s="20" t="n">
        <f aca="false">IF($A136&gt;PARAMETROS!$C$33,"",K135*(1+PARAMETROS!$C$36))</f>
        <v>40347.0593192119</v>
      </c>
      <c r="L136" s="20" t="n">
        <f aca="false">IF($A136&gt;PARAMETROS!$C$33,"",L135*(1+PARAMETROS!$C$37)*(1+M136))</f>
        <v>14469.6127694272</v>
      </c>
      <c r="M136" s="21" t="n">
        <f aca="false">IF($A136&gt;PARAMETROS!$C$33,"",IF(C136&lt;70,PARAMETROS!$C$40,IF(C136&lt;75,PARAMETROS!$C$41,IF(C136&lt;80,PARAMETROS!$C$42,IF(C136&lt;85,PARAMETROS!$C$43,IF(C136&lt;90,PARAMETROS!$C$44,PARAMETROS!$C$45))))))</f>
        <v>0.00165158130192022</v>
      </c>
      <c r="N136" s="20" t="n">
        <f aca="false">IF($A136&gt;PARAMETROS!$C$33,"",K136+L136)</f>
        <v>54816.6720886391</v>
      </c>
      <c r="O136" s="20" t="n">
        <f aca="false">IF($A136&gt;PARAMETROS!$C$33,"",I136+J136-N136)</f>
        <v>-5499.19310039932</v>
      </c>
      <c r="P136" s="20" t="n">
        <f aca="false">IF($A136&gt;PARAMETROS!$C$33,"",MAX(E136+I136+J136-N136,0))</f>
        <v>808788.269136882</v>
      </c>
      <c r="Q136" s="22" t="str">
        <f aca="false">IF($A136&gt;PARAMETROS!$C$33,"",IF(P136&lt;=0,"AGOTADO","OK"))</f>
        <v>OK</v>
      </c>
    </row>
    <row r="137" customFormat="false" ht="15" hidden="false" customHeight="false" outlineLevel="0" collapsed="false">
      <c r="A137" s="19" t="n">
        <f aca="false">A136+1</f>
        <v>135</v>
      </c>
      <c r="B137" s="19" t="n">
        <f aca="false">IF($A137="","",ROUNDUP($A137/12,0))</f>
        <v>12</v>
      </c>
      <c r="C137" s="19" t="n">
        <f aca="false">IF($A137="","",PARAMETROS!$C$6+INT(($A137-1)/12))</f>
        <v>76</v>
      </c>
      <c r="D137" s="19" t="n">
        <f aca="false">IF($A137="","",MOD($A137-1,12)+1)</f>
        <v>3</v>
      </c>
      <c r="E137" s="20" t="n">
        <f aca="false">IF($A137&gt;PARAMETROS!$C$33,"",P136)</f>
        <v>808788.269136882</v>
      </c>
      <c r="F137" s="21" t="n">
        <f aca="false">IF($A137&gt;PARAMETROS!$C$33,"",PARAMETROS!$C$38)</f>
        <v>0.00495440818448101</v>
      </c>
      <c r="G137" s="20" t="n">
        <f aca="false">IF($A137&gt;PARAMETROS!$C$33,"",E137*F137)</f>
        <v>4007.067220124</v>
      </c>
      <c r="H137" s="20" t="n">
        <f aca="false">IF($A137&gt;PARAMETROS!$C$33,"",E137*PARAMETROS!$C$39)</f>
        <v>604.103306972358</v>
      </c>
      <c r="I137" s="20" t="n">
        <f aca="false">IF($A137&gt;PARAMETROS!$C$33,"",G137-H137)</f>
        <v>3402.96391315164</v>
      </c>
      <c r="J137" s="20" t="n">
        <f aca="false">IF($A137&gt;PARAMETROS!$C$33,"",PARAMETROS!$C$9*(1+PARAMETROS!$C$17)^(B137-1))</f>
        <v>45891.3773066681</v>
      </c>
      <c r="K137" s="20" t="n">
        <f aca="false">IF($A137&gt;PARAMETROS!$C$33,"",K136*(1+PARAMETROS!$C$36))</f>
        <v>40485.302628508</v>
      </c>
      <c r="L137" s="20" t="n">
        <f aca="false">IF($A137&gt;PARAMETROS!$C$33,"",L136*(1+PARAMETROS!$C$37)*(1+M137))</f>
        <v>14550.7096313374</v>
      </c>
      <c r="M137" s="21" t="n">
        <f aca="false">IF($A137&gt;PARAMETROS!$C$33,"",IF(C137&lt;70,PARAMETROS!$C$40,IF(C137&lt;75,PARAMETROS!$C$41,IF(C137&lt;80,PARAMETROS!$C$42,IF(C137&lt;85,PARAMETROS!$C$43,IF(C137&lt;90,PARAMETROS!$C$44,PARAMETROS!$C$45))))))</f>
        <v>0.00165158130192022</v>
      </c>
      <c r="N137" s="20" t="n">
        <f aca="false">IF($A137&gt;PARAMETROS!$C$33,"",K137+L137)</f>
        <v>55036.0122598454</v>
      </c>
      <c r="O137" s="20" t="n">
        <f aca="false">IF($A137&gt;PARAMETROS!$C$33,"",I137+J137-N137)</f>
        <v>-5741.67104002567</v>
      </c>
      <c r="P137" s="20" t="n">
        <f aca="false">IF($A137&gt;PARAMETROS!$C$33,"",MAX(E137+I137+J137-N137,0))</f>
        <v>803046.598096856</v>
      </c>
      <c r="Q137" s="22" t="str">
        <f aca="false">IF($A137&gt;PARAMETROS!$C$33,"",IF(P137&lt;=0,"AGOTADO","OK"))</f>
        <v>OK</v>
      </c>
    </row>
    <row r="138" customFormat="false" ht="15" hidden="false" customHeight="false" outlineLevel="0" collapsed="false">
      <c r="A138" s="19" t="n">
        <f aca="false">A137+1</f>
        <v>136</v>
      </c>
      <c r="B138" s="19" t="n">
        <f aca="false">IF($A138="","",ROUNDUP($A138/12,0))</f>
        <v>12</v>
      </c>
      <c r="C138" s="19" t="n">
        <f aca="false">IF($A138="","",PARAMETROS!$C$6+INT(($A138-1)/12))</f>
        <v>76</v>
      </c>
      <c r="D138" s="19" t="n">
        <f aca="false">IF($A138="","",MOD($A138-1,12)+1)</f>
        <v>4</v>
      </c>
      <c r="E138" s="20" t="n">
        <f aca="false">IF($A138&gt;PARAMETROS!$C$33,"",P137)</f>
        <v>803046.598096856</v>
      </c>
      <c r="F138" s="21" t="n">
        <f aca="false">IF($A138&gt;PARAMETROS!$C$33,"",PARAMETROS!$C$38)</f>
        <v>0.00495440818448101</v>
      </c>
      <c r="G138" s="20" t="n">
        <f aca="false">IF($A138&gt;PARAMETROS!$C$33,"",E138*F138)</f>
        <v>3978.62063813069</v>
      </c>
      <c r="H138" s="20" t="n">
        <f aca="false">IF($A138&gt;PARAMETROS!$C$33,"",E138*PARAMETROS!$C$39)</f>
        <v>599.81471551377</v>
      </c>
      <c r="I138" s="20" t="n">
        <f aca="false">IF($A138&gt;PARAMETROS!$C$33,"",G138-H138)</f>
        <v>3378.80592261693</v>
      </c>
      <c r="J138" s="20" t="n">
        <f aca="false">IF($A138&gt;PARAMETROS!$C$33,"",PARAMETROS!$C$9*(1+PARAMETROS!$C$17)^(B138-1))</f>
        <v>45891.3773066681</v>
      </c>
      <c r="K138" s="20" t="n">
        <f aca="false">IF($A138&gt;PARAMETROS!$C$33,"",K137*(1+PARAMETROS!$C$36))</f>
        <v>40624.0196083241</v>
      </c>
      <c r="L138" s="20" t="n">
        <f aca="false">IF($A138&gt;PARAMETROS!$C$33,"",L137*(1+PARAMETROS!$C$37)*(1+M138))</f>
        <v>14632.2610113551</v>
      </c>
      <c r="M138" s="21" t="n">
        <f aca="false">IF($A138&gt;PARAMETROS!$C$33,"",IF(C138&lt;70,PARAMETROS!$C$40,IF(C138&lt;75,PARAMETROS!$C$41,IF(C138&lt;80,PARAMETROS!$C$42,IF(C138&lt;85,PARAMETROS!$C$43,IF(C138&lt;90,PARAMETROS!$C$44,PARAMETROS!$C$45))))))</f>
        <v>0.00165158130192022</v>
      </c>
      <c r="N138" s="20" t="n">
        <f aca="false">IF($A138&gt;PARAMETROS!$C$33,"",K138+L138)</f>
        <v>55256.2806196792</v>
      </c>
      <c r="O138" s="20" t="n">
        <f aca="false">IF($A138&gt;PARAMETROS!$C$33,"",I138+J138-N138)</f>
        <v>-5986.09739039411</v>
      </c>
      <c r="P138" s="20" t="n">
        <f aca="false">IF($A138&gt;PARAMETROS!$C$33,"",MAX(E138+I138+J138-N138,0))</f>
        <v>797060.500706462</v>
      </c>
      <c r="Q138" s="22" t="str">
        <f aca="false">IF($A138&gt;PARAMETROS!$C$33,"",IF(P138&lt;=0,"AGOTADO","OK"))</f>
        <v>OK</v>
      </c>
    </row>
    <row r="139" customFormat="false" ht="15" hidden="false" customHeight="false" outlineLevel="0" collapsed="false">
      <c r="A139" s="19" t="n">
        <f aca="false">A138+1</f>
        <v>137</v>
      </c>
      <c r="B139" s="19" t="n">
        <f aca="false">IF($A139="","",ROUNDUP($A139/12,0))</f>
        <v>12</v>
      </c>
      <c r="C139" s="19" t="n">
        <f aca="false">IF($A139="","",PARAMETROS!$C$6+INT(($A139-1)/12))</f>
        <v>76</v>
      </c>
      <c r="D139" s="19" t="n">
        <f aca="false">IF($A139="","",MOD($A139-1,12)+1)</f>
        <v>5</v>
      </c>
      <c r="E139" s="20" t="n">
        <f aca="false">IF($A139&gt;PARAMETROS!$C$33,"",P138)</f>
        <v>797060.500706462</v>
      </c>
      <c r="F139" s="21" t="n">
        <f aca="false">IF($A139&gt;PARAMETROS!$C$33,"",PARAMETROS!$C$38)</f>
        <v>0.00495440818448101</v>
      </c>
      <c r="G139" s="20" t="n">
        <f aca="false">IF($A139&gt;PARAMETROS!$C$33,"",E139*F139)</f>
        <v>3948.96306822663</v>
      </c>
      <c r="H139" s="20" t="n">
        <f aca="false">IF($A139&gt;PARAMETROS!$C$33,"",E139*PARAMETROS!$C$39)</f>
        <v>595.343556166646</v>
      </c>
      <c r="I139" s="20" t="n">
        <f aca="false">IF($A139&gt;PARAMETROS!$C$33,"",G139-H139)</f>
        <v>3353.61951205998</v>
      </c>
      <c r="J139" s="20" t="n">
        <f aca="false">IF($A139&gt;PARAMETROS!$C$33,"",PARAMETROS!$C$9*(1+PARAMETROS!$C$17)^(B139-1))</f>
        <v>45891.3773066681</v>
      </c>
      <c r="K139" s="20" t="n">
        <f aca="false">IF($A139&gt;PARAMETROS!$C$33,"",K138*(1+PARAMETROS!$C$36))</f>
        <v>40763.211881623</v>
      </c>
      <c r="L139" s="20" t="n">
        <f aca="false">IF($A139&gt;PARAMETROS!$C$33,"",L138*(1+PARAMETROS!$C$37)*(1+M139))</f>
        <v>14714.2694568871</v>
      </c>
      <c r="M139" s="21" t="n">
        <f aca="false">IF($A139&gt;PARAMETROS!$C$33,"",IF(C139&lt;70,PARAMETROS!$C$40,IF(C139&lt;75,PARAMETROS!$C$41,IF(C139&lt;80,PARAMETROS!$C$42,IF(C139&lt;85,PARAMETROS!$C$43,IF(C139&lt;90,PARAMETROS!$C$44,PARAMETROS!$C$45))))))</f>
        <v>0.00165158130192022</v>
      </c>
      <c r="N139" s="20" t="n">
        <f aca="false">IF($A139&gt;PARAMETROS!$C$33,"",K139+L139)</f>
        <v>55477.4813385101</v>
      </c>
      <c r="O139" s="20" t="n">
        <f aca="false">IF($A139&gt;PARAMETROS!$C$33,"",I139+J139-N139)</f>
        <v>-6232.48451978202</v>
      </c>
      <c r="P139" s="20" t="n">
        <f aca="false">IF($A139&gt;PARAMETROS!$C$33,"",MAX(E139+I139+J139-N139,0))</f>
        <v>790828.01618668</v>
      </c>
      <c r="Q139" s="22" t="str">
        <f aca="false">IF($A139&gt;PARAMETROS!$C$33,"",IF(P139&lt;=0,"AGOTADO","OK"))</f>
        <v>OK</v>
      </c>
    </row>
    <row r="140" customFormat="false" ht="15" hidden="false" customHeight="false" outlineLevel="0" collapsed="false">
      <c r="A140" s="19" t="n">
        <f aca="false">A139+1</f>
        <v>138</v>
      </c>
      <c r="B140" s="19" t="n">
        <f aca="false">IF($A140="","",ROUNDUP($A140/12,0))</f>
        <v>12</v>
      </c>
      <c r="C140" s="19" t="n">
        <f aca="false">IF($A140="","",PARAMETROS!$C$6+INT(($A140-1)/12))</f>
        <v>76</v>
      </c>
      <c r="D140" s="19" t="n">
        <f aca="false">IF($A140="","",MOD($A140-1,12)+1)</f>
        <v>6</v>
      </c>
      <c r="E140" s="20" t="n">
        <f aca="false">IF($A140&gt;PARAMETROS!$C$33,"",P139)</f>
        <v>790828.01618668</v>
      </c>
      <c r="F140" s="21" t="n">
        <f aca="false">IF($A140&gt;PARAMETROS!$C$33,"",PARAMETROS!$C$38)</f>
        <v>0.00495440818448101</v>
      </c>
      <c r="G140" s="20" t="n">
        <f aca="false">IF($A140&gt;PARAMETROS!$C$33,"",E140*F140)</f>
        <v>3918.08479591217</v>
      </c>
      <c r="H140" s="20" t="n">
        <f aca="false">IF($A140&gt;PARAMETROS!$C$33,"",E140*PARAMETROS!$C$39)</f>
        <v>590.688364378228</v>
      </c>
      <c r="I140" s="20" t="n">
        <f aca="false">IF($A140&gt;PARAMETROS!$C$33,"",G140-H140)</f>
        <v>3327.39643153394</v>
      </c>
      <c r="J140" s="20" t="n">
        <f aca="false">IF($A140&gt;PARAMETROS!$C$33,"",PARAMETROS!$C$9*(1+PARAMETROS!$C$17)^(B140-1))</f>
        <v>45891.3773066681</v>
      </c>
      <c r="K140" s="20" t="n">
        <f aca="false">IF($A140&gt;PARAMETROS!$C$33,"",K139*(1+PARAMETROS!$C$36))</f>
        <v>40902.8810769284</v>
      </c>
      <c r="L140" s="20" t="n">
        <f aca="false">IF($A140&gt;PARAMETROS!$C$33,"",L139*(1+PARAMETROS!$C$37)*(1+M140))</f>
        <v>14796.7375296179</v>
      </c>
      <c r="M140" s="21" t="n">
        <f aca="false">IF($A140&gt;PARAMETROS!$C$33,"",IF(C140&lt;70,PARAMETROS!$C$40,IF(C140&lt;75,PARAMETROS!$C$41,IF(C140&lt;80,PARAMETROS!$C$42,IF(C140&lt;85,PARAMETROS!$C$43,IF(C140&lt;90,PARAMETROS!$C$44,PARAMETROS!$C$45))))))</f>
        <v>0.00165158130192022</v>
      </c>
      <c r="N140" s="20" t="n">
        <f aca="false">IF($A140&gt;PARAMETROS!$C$33,"",K140+L140)</f>
        <v>55699.6186065463</v>
      </c>
      <c r="O140" s="20" t="n">
        <f aca="false">IF($A140&gt;PARAMETROS!$C$33,"",I140+J140-N140)</f>
        <v>-6480.84486834423</v>
      </c>
      <c r="P140" s="20" t="n">
        <f aca="false">IF($A140&gt;PARAMETROS!$C$33,"",MAX(E140+I140+J140-N140,0))</f>
        <v>784347.171318336</v>
      </c>
      <c r="Q140" s="22" t="str">
        <f aca="false">IF($A140&gt;PARAMETROS!$C$33,"",IF(P140&lt;=0,"AGOTADO","OK"))</f>
        <v>OK</v>
      </c>
    </row>
    <row r="141" customFormat="false" ht="15" hidden="false" customHeight="false" outlineLevel="0" collapsed="false">
      <c r="A141" s="19" t="n">
        <f aca="false">A140+1</f>
        <v>139</v>
      </c>
      <c r="B141" s="19" t="n">
        <f aca="false">IF($A141="","",ROUNDUP($A141/12,0))</f>
        <v>12</v>
      </c>
      <c r="C141" s="19" t="n">
        <f aca="false">IF($A141="","",PARAMETROS!$C$6+INT(($A141-1)/12))</f>
        <v>76</v>
      </c>
      <c r="D141" s="19" t="n">
        <f aca="false">IF($A141="","",MOD($A141-1,12)+1)</f>
        <v>7</v>
      </c>
      <c r="E141" s="20" t="n">
        <f aca="false">IF($A141&gt;PARAMETROS!$C$33,"",P140)</f>
        <v>784347.171318336</v>
      </c>
      <c r="F141" s="21" t="n">
        <f aca="false">IF($A141&gt;PARAMETROS!$C$33,"",PARAMETROS!$C$38)</f>
        <v>0.00495440818448101</v>
      </c>
      <c r="G141" s="20" t="n">
        <f aca="false">IF($A141&gt;PARAMETROS!$C$33,"",E141*F141)</f>
        <v>3885.97604505409</v>
      </c>
      <c r="H141" s="20" t="n">
        <f aca="false">IF($A141&gt;PARAMETROS!$C$33,"",E141*PARAMETROS!$C$39)</f>
        <v>585.84766630391</v>
      </c>
      <c r="I141" s="20" t="n">
        <f aca="false">IF($A141&gt;PARAMETROS!$C$33,"",G141-H141)</f>
        <v>3300.12837875018</v>
      </c>
      <c r="J141" s="20" t="n">
        <f aca="false">IF($A141&gt;PARAMETROS!$C$33,"",PARAMETROS!$C$9*(1+PARAMETROS!$C$17)^(B141-1))</f>
        <v>45891.3773066681</v>
      </c>
      <c r="K141" s="20" t="n">
        <f aca="false">IF($A141&gt;PARAMETROS!$C$33,"",K140*(1+PARAMETROS!$C$36))</f>
        <v>41043.0288283441</v>
      </c>
      <c r="L141" s="20" t="n">
        <f aca="false">IF($A141&gt;PARAMETROS!$C$33,"",L140*(1+PARAMETROS!$C$37)*(1+M141))</f>
        <v>14879.6678055888</v>
      </c>
      <c r="M141" s="21" t="n">
        <f aca="false">IF($A141&gt;PARAMETROS!$C$33,"",IF(C141&lt;70,PARAMETROS!$C$40,IF(C141&lt;75,PARAMETROS!$C$41,IF(C141&lt;80,PARAMETROS!$C$42,IF(C141&lt;85,PARAMETROS!$C$43,IF(C141&lt;90,PARAMETROS!$C$44,PARAMETROS!$C$45))))))</f>
        <v>0.00165158130192022</v>
      </c>
      <c r="N141" s="20" t="n">
        <f aca="false">IF($A141&gt;PARAMETROS!$C$33,"",K141+L141)</f>
        <v>55922.6966339329</v>
      </c>
      <c r="O141" s="20" t="n">
        <f aca="false">IF($A141&gt;PARAMETROS!$C$33,"",I141+J141-N141)</f>
        <v>-6731.19094851454</v>
      </c>
      <c r="P141" s="20" t="n">
        <f aca="false">IF($A141&gt;PARAMETROS!$C$33,"",MAX(E141+I141+J141-N141,0))</f>
        <v>777615.980369821</v>
      </c>
      <c r="Q141" s="22" t="str">
        <f aca="false">IF($A141&gt;PARAMETROS!$C$33,"",IF(P141&lt;=0,"AGOTADO","OK"))</f>
        <v>OK</v>
      </c>
    </row>
    <row r="142" customFormat="false" ht="15" hidden="false" customHeight="false" outlineLevel="0" collapsed="false">
      <c r="A142" s="19" t="n">
        <f aca="false">A141+1</f>
        <v>140</v>
      </c>
      <c r="B142" s="19" t="n">
        <f aca="false">IF($A142="","",ROUNDUP($A142/12,0))</f>
        <v>12</v>
      </c>
      <c r="C142" s="19" t="n">
        <f aca="false">IF($A142="","",PARAMETROS!$C$6+INT(($A142-1)/12))</f>
        <v>76</v>
      </c>
      <c r="D142" s="19" t="n">
        <f aca="false">IF($A142="","",MOD($A142-1,12)+1)</f>
        <v>8</v>
      </c>
      <c r="E142" s="20" t="n">
        <f aca="false">IF($A142&gt;PARAMETROS!$C$33,"",P141)</f>
        <v>777615.980369821</v>
      </c>
      <c r="F142" s="21" t="n">
        <f aca="false">IF($A142&gt;PARAMETROS!$C$33,"",PARAMETROS!$C$38)</f>
        <v>0.00495440818448101</v>
      </c>
      <c r="G142" s="20" t="n">
        <f aca="false">IF($A142&gt;PARAMETROS!$C$33,"",E142*F142)</f>
        <v>3852.62697752746</v>
      </c>
      <c r="H142" s="20" t="n">
        <f aca="false">IF($A142&gt;PARAMETROS!$C$33,"",E142*PARAMETROS!$C$39)</f>
        <v>580.819978753249</v>
      </c>
      <c r="I142" s="20" t="n">
        <f aca="false">IF($A142&gt;PARAMETROS!$C$33,"",G142-H142)</f>
        <v>3271.80699877422</v>
      </c>
      <c r="J142" s="20" t="n">
        <f aca="false">IF($A142&gt;PARAMETROS!$C$33,"",PARAMETROS!$C$9*(1+PARAMETROS!$C$17)^(B142-1))</f>
        <v>45891.3773066681</v>
      </c>
      <c r="K142" s="20" t="n">
        <f aca="false">IF($A142&gt;PARAMETROS!$C$33,"",K141*(1+PARAMETROS!$C$36))</f>
        <v>41183.6567755726</v>
      </c>
      <c r="L142" s="20" t="n">
        <f aca="false">IF($A142&gt;PARAMETROS!$C$33,"",L141*(1+PARAMETROS!$C$37)*(1+M142))</f>
        <v>14963.0628752792</v>
      </c>
      <c r="M142" s="21" t="n">
        <f aca="false">IF($A142&gt;PARAMETROS!$C$33,"",IF(C142&lt;70,PARAMETROS!$C$40,IF(C142&lt;75,PARAMETROS!$C$41,IF(C142&lt;80,PARAMETROS!$C$42,IF(C142&lt;85,PARAMETROS!$C$43,IF(C142&lt;90,PARAMETROS!$C$44,PARAMETROS!$C$45))))))</f>
        <v>0.00165158130192022</v>
      </c>
      <c r="N142" s="20" t="n">
        <f aca="false">IF($A142&gt;PARAMETROS!$C$33,"",K142+L142)</f>
        <v>56146.7196508518</v>
      </c>
      <c r="O142" s="20" t="n">
        <f aca="false">IF($A142&gt;PARAMETROS!$C$33,"",I142+J142-N142)</f>
        <v>-6983.53534540941</v>
      </c>
      <c r="P142" s="20" t="n">
        <f aca="false">IF($A142&gt;PARAMETROS!$C$33,"",MAX(E142+I142+J142-N142,0))</f>
        <v>770632.445024412</v>
      </c>
      <c r="Q142" s="22" t="str">
        <f aca="false">IF($A142&gt;PARAMETROS!$C$33,"",IF(P142&lt;=0,"AGOTADO","OK"))</f>
        <v>OK</v>
      </c>
    </row>
    <row r="143" customFormat="false" ht="15" hidden="false" customHeight="false" outlineLevel="0" collapsed="false">
      <c r="A143" s="19" t="n">
        <f aca="false">A142+1</f>
        <v>141</v>
      </c>
      <c r="B143" s="19" t="n">
        <f aca="false">IF($A143="","",ROUNDUP($A143/12,0))</f>
        <v>12</v>
      </c>
      <c r="C143" s="19" t="n">
        <f aca="false">IF($A143="","",PARAMETROS!$C$6+INT(($A143-1)/12))</f>
        <v>76</v>
      </c>
      <c r="D143" s="19" t="n">
        <f aca="false">IF($A143="","",MOD($A143-1,12)+1)</f>
        <v>9</v>
      </c>
      <c r="E143" s="20" t="n">
        <f aca="false">IF($A143&gt;PARAMETROS!$C$33,"",P142)</f>
        <v>770632.445024412</v>
      </c>
      <c r="F143" s="21" t="n">
        <f aca="false">IF($A143&gt;PARAMETROS!$C$33,"",PARAMETROS!$C$38)</f>
        <v>0.00495440818448101</v>
      </c>
      <c r="G143" s="20" t="n">
        <f aca="false">IF($A143&gt;PARAMETROS!$C$33,"",E143*F143)</f>
        <v>3818.02769285556</v>
      </c>
      <c r="H143" s="20" t="n">
        <f aca="false">IF($A143&gt;PARAMETROS!$C$33,"",E143*PARAMETROS!$C$39)</f>
        <v>575.603809135678</v>
      </c>
      <c r="I143" s="20" t="n">
        <f aca="false">IF($A143&gt;PARAMETROS!$C$33,"",G143-H143)</f>
        <v>3242.42388371988</v>
      </c>
      <c r="J143" s="20" t="n">
        <f aca="false">IF($A143&gt;PARAMETROS!$C$33,"",PARAMETROS!$C$9*(1+PARAMETROS!$C$17)^(B143-1))</f>
        <v>45891.3773066681</v>
      </c>
      <c r="K143" s="20" t="n">
        <f aca="false">IF($A143&gt;PARAMETROS!$C$33,"",K142*(1+PARAMETROS!$C$36))</f>
        <v>41324.7665639348</v>
      </c>
      <c r="L143" s="20" t="n">
        <f aca="false">IF($A143&gt;PARAMETROS!$C$33,"",L142*(1+PARAMETROS!$C$37)*(1+M143))</f>
        <v>15046.925343687</v>
      </c>
      <c r="M143" s="21" t="n">
        <f aca="false">IF($A143&gt;PARAMETROS!$C$33,"",IF(C143&lt;70,PARAMETROS!$C$40,IF(C143&lt;75,PARAMETROS!$C$41,IF(C143&lt;80,PARAMETROS!$C$42,IF(C143&lt;85,PARAMETROS!$C$43,IF(C143&lt;90,PARAMETROS!$C$44,PARAMETROS!$C$45))))))</f>
        <v>0.00165158130192022</v>
      </c>
      <c r="N143" s="20" t="n">
        <f aca="false">IF($A143&gt;PARAMETROS!$C$33,"",K143+L143)</f>
        <v>56371.6919076218</v>
      </c>
      <c r="O143" s="20" t="n">
        <f aca="false">IF($A143&gt;PARAMETROS!$C$33,"",I143+J143-N143)</f>
        <v>-7237.89071723382</v>
      </c>
      <c r="P143" s="20" t="n">
        <f aca="false">IF($A143&gt;PARAMETROS!$C$33,"",MAX(E143+I143+J143-N143,0))</f>
        <v>763394.554307178</v>
      </c>
      <c r="Q143" s="22" t="str">
        <f aca="false">IF($A143&gt;PARAMETROS!$C$33,"",IF(P143&lt;=0,"AGOTADO","OK"))</f>
        <v>OK</v>
      </c>
    </row>
    <row r="144" customFormat="false" ht="15" hidden="false" customHeight="false" outlineLevel="0" collapsed="false">
      <c r="A144" s="19" t="n">
        <f aca="false">A143+1</f>
        <v>142</v>
      </c>
      <c r="B144" s="19" t="n">
        <f aca="false">IF($A144="","",ROUNDUP($A144/12,0))</f>
        <v>12</v>
      </c>
      <c r="C144" s="19" t="n">
        <f aca="false">IF($A144="","",PARAMETROS!$C$6+INT(($A144-1)/12))</f>
        <v>76</v>
      </c>
      <c r="D144" s="19" t="n">
        <f aca="false">IF($A144="","",MOD($A144-1,12)+1)</f>
        <v>10</v>
      </c>
      <c r="E144" s="20" t="n">
        <f aca="false">IF($A144&gt;PARAMETROS!$C$33,"",P143)</f>
        <v>763394.554307178</v>
      </c>
      <c r="F144" s="21" t="n">
        <f aca="false">IF($A144&gt;PARAMETROS!$C$33,"",PARAMETROS!$C$38)</f>
        <v>0.00495440818448101</v>
      </c>
      <c r="G144" s="20" t="n">
        <f aca="false">IF($A144&gt;PARAMETROS!$C$33,"",E144*F144)</f>
        <v>3782.16822784771</v>
      </c>
      <c r="H144" s="20" t="n">
        <f aca="false">IF($A144&gt;PARAMETROS!$C$33,"",E144*PARAMETROS!$C$39)</f>
        <v>570.197655405912</v>
      </c>
      <c r="I144" s="20" t="n">
        <f aca="false">IF($A144&gt;PARAMETROS!$C$33,"",G144-H144)</f>
        <v>3211.9705724418</v>
      </c>
      <c r="J144" s="20" t="n">
        <f aca="false">IF($A144&gt;PARAMETROS!$C$33,"",PARAMETROS!$C$9*(1+PARAMETROS!$C$17)^(B144-1))</f>
        <v>45891.3773066681</v>
      </c>
      <c r="K144" s="20" t="n">
        <f aca="false">IF($A144&gt;PARAMETROS!$C$33,"",K143*(1+PARAMETROS!$C$36))</f>
        <v>41466.3598443891</v>
      </c>
      <c r="L144" s="20" t="n">
        <f aca="false">IF($A144&gt;PARAMETROS!$C$33,"",L143*(1+PARAMETROS!$C$37)*(1+M144))</f>
        <v>15131.2578304104</v>
      </c>
      <c r="M144" s="21" t="n">
        <f aca="false">IF($A144&gt;PARAMETROS!$C$33,"",IF(C144&lt;70,PARAMETROS!$C$40,IF(C144&lt;75,PARAMETROS!$C$41,IF(C144&lt;80,PARAMETROS!$C$42,IF(C144&lt;85,PARAMETROS!$C$43,IF(C144&lt;90,PARAMETROS!$C$44,PARAMETROS!$C$45))))))</f>
        <v>0.00165158130192022</v>
      </c>
      <c r="N144" s="20" t="n">
        <f aca="false">IF($A144&gt;PARAMETROS!$C$33,"",K144+L144)</f>
        <v>56597.6176747994</v>
      </c>
      <c r="O144" s="20" t="n">
        <f aca="false">IF($A144&gt;PARAMETROS!$C$33,"",I144+J144-N144)</f>
        <v>-7494.26979568951</v>
      </c>
      <c r="P144" s="20" t="n">
        <f aca="false">IF($A144&gt;PARAMETROS!$C$33,"",MAX(E144+I144+J144-N144,0))</f>
        <v>755900.284511488</v>
      </c>
      <c r="Q144" s="22" t="str">
        <f aca="false">IF($A144&gt;PARAMETROS!$C$33,"",IF(P144&lt;=0,"AGOTADO","OK"))</f>
        <v>OK</v>
      </c>
    </row>
    <row r="145" customFormat="false" ht="15" hidden="false" customHeight="false" outlineLevel="0" collapsed="false">
      <c r="A145" s="19" t="n">
        <f aca="false">A144+1</f>
        <v>143</v>
      </c>
      <c r="B145" s="19" t="n">
        <f aca="false">IF($A145="","",ROUNDUP($A145/12,0))</f>
        <v>12</v>
      </c>
      <c r="C145" s="19" t="n">
        <f aca="false">IF($A145="","",PARAMETROS!$C$6+INT(($A145-1)/12))</f>
        <v>76</v>
      </c>
      <c r="D145" s="19" t="n">
        <f aca="false">IF($A145="","",MOD($A145-1,12)+1)</f>
        <v>11</v>
      </c>
      <c r="E145" s="20" t="n">
        <f aca="false">IF($A145&gt;PARAMETROS!$C$33,"",P144)</f>
        <v>755900.284511488</v>
      </c>
      <c r="F145" s="21" t="n">
        <f aca="false">IF($A145&gt;PARAMETROS!$C$33,"",PARAMETROS!$C$38)</f>
        <v>0.00495440818448101</v>
      </c>
      <c r="G145" s="20" t="n">
        <f aca="false">IF($A145&gt;PARAMETROS!$C$33,"",E145*F145)</f>
        <v>3745.03855623524</v>
      </c>
      <c r="H145" s="20" t="n">
        <f aca="false">IF($A145&gt;PARAMETROS!$C$33,"",E145*PARAMETROS!$C$39)</f>
        <v>564.600006009055</v>
      </c>
      <c r="I145" s="20" t="n">
        <f aca="false">IF($A145&gt;PARAMETROS!$C$33,"",G145-H145)</f>
        <v>3180.43855022619</v>
      </c>
      <c r="J145" s="20" t="n">
        <f aca="false">IF($A145&gt;PARAMETROS!$C$33,"",PARAMETROS!$C$9*(1+PARAMETROS!$C$17)^(B145-1))</f>
        <v>45891.3773066681</v>
      </c>
      <c r="K145" s="20" t="n">
        <f aca="false">IF($A145&gt;PARAMETROS!$C$33,"",K144*(1+PARAMETROS!$C$36))</f>
        <v>41608.4382735504</v>
      </c>
      <c r="L145" s="20" t="n">
        <f aca="false">IF($A145&gt;PARAMETROS!$C$33,"",L144*(1+PARAMETROS!$C$37)*(1+M145))</f>
        <v>15216.0629697292</v>
      </c>
      <c r="M145" s="21" t="n">
        <f aca="false">IF($A145&gt;PARAMETROS!$C$33,"",IF(C145&lt;70,PARAMETROS!$C$40,IF(C145&lt;75,PARAMETROS!$C$41,IF(C145&lt;80,PARAMETROS!$C$42,IF(C145&lt;85,PARAMETROS!$C$43,IF(C145&lt;90,PARAMETROS!$C$44,PARAMETROS!$C$45))))))</f>
        <v>0.00165158130192022</v>
      </c>
      <c r="N145" s="20" t="n">
        <f aca="false">IF($A145&gt;PARAMETROS!$C$33,"",K145+L145)</f>
        <v>56824.5012432796</v>
      </c>
      <c r="O145" s="20" t="n">
        <f aca="false">IF($A145&gt;PARAMETROS!$C$33,"",I145+J145-N145)</f>
        <v>-7752.68538638526</v>
      </c>
      <c r="P145" s="20" t="n">
        <f aca="false">IF($A145&gt;PARAMETROS!$C$33,"",MAX(E145+I145+J145-N145,0))</f>
        <v>748147.599125103</v>
      </c>
      <c r="Q145" s="22" t="str">
        <f aca="false">IF($A145&gt;PARAMETROS!$C$33,"",IF(P145&lt;=0,"AGOTADO","OK"))</f>
        <v>OK</v>
      </c>
    </row>
    <row r="146" customFormat="false" ht="15" hidden="false" customHeight="false" outlineLevel="0" collapsed="false">
      <c r="A146" s="19" t="n">
        <f aca="false">A145+1</f>
        <v>144</v>
      </c>
      <c r="B146" s="19" t="n">
        <f aca="false">IF($A146="","",ROUNDUP($A146/12,0))</f>
        <v>12</v>
      </c>
      <c r="C146" s="19" t="n">
        <f aca="false">IF($A146="","",PARAMETROS!$C$6+INT(($A146-1)/12))</f>
        <v>76</v>
      </c>
      <c r="D146" s="19" t="n">
        <f aca="false">IF($A146="","",MOD($A146-1,12)+1)</f>
        <v>12</v>
      </c>
      <c r="E146" s="20" t="n">
        <f aca="false">IF($A146&gt;PARAMETROS!$C$33,"",P145)</f>
        <v>748147.599125103</v>
      </c>
      <c r="F146" s="21" t="n">
        <f aca="false">IF($A146&gt;PARAMETROS!$C$33,"",PARAMETROS!$C$38)</f>
        <v>0.00495440818448101</v>
      </c>
      <c r="G146" s="20" t="n">
        <f aca="false">IF($A146&gt;PARAMETROS!$C$33,"",E146*F146)</f>
        <v>3706.62858830523</v>
      </c>
      <c r="H146" s="20" t="n">
        <f aca="false">IF($A146&gt;PARAMETROS!$C$33,"",E146*PARAMETROS!$C$39)</f>
        <v>558.809339825395</v>
      </c>
      <c r="I146" s="20" t="n">
        <f aca="false">IF($A146&gt;PARAMETROS!$C$33,"",G146-H146)</f>
        <v>3147.81924847983</v>
      </c>
      <c r="J146" s="20" t="n">
        <f aca="false">IF($A146&gt;PARAMETROS!$C$33,"",PARAMETROS!$C$9*(1+PARAMETROS!$C$17)^(B146-1))</f>
        <v>45891.3773066681</v>
      </c>
      <c r="K146" s="20" t="n">
        <f aca="false">IF($A146&gt;PARAMETROS!$C$33,"",K145*(1+PARAMETROS!$C$36))</f>
        <v>41751.0035137101</v>
      </c>
      <c r="L146" s="20" t="n">
        <f aca="false">IF($A146&gt;PARAMETROS!$C$33,"",L145*(1+PARAMETROS!$C$37)*(1+M146))</f>
        <v>15301.3434106875</v>
      </c>
      <c r="M146" s="21" t="n">
        <f aca="false">IF($A146&gt;PARAMETROS!$C$33,"",IF(C146&lt;70,PARAMETROS!$C$40,IF(C146&lt;75,PARAMETROS!$C$41,IF(C146&lt;80,PARAMETROS!$C$42,IF(C146&lt;85,PARAMETROS!$C$43,IF(C146&lt;90,PARAMETROS!$C$44,PARAMETROS!$C$45))))))</f>
        <v>0.00165158130192022</v>
      </c>
      <c r="N146" s="20" t="n">
        <f aca="false">IF($A146&gt;PARAMETROS!$C$33,"",K146+L146)</f>
        <v>57052.3469243976</v>
      </c>
      <c r="O146" s="20" t="n">
        <f aca="false">IF($A146&gt;PARAMETROS!$C$33,"",I146+J146-N146)</f>
        <v>-8013.1503692496</v>
      </c>
      <c r="P146" s="20" t="n">
        <f aca="false">IF($A146&gt;PARAMETROS!$C$33,"",MAX(E146+I146+J146-N146,0))</f>
        <v>740134.448755853</v>
      </c>
      <c r="Q146" s="22" t="str">
        <f aca="false">IF($A146&gt;PARAMETROS!$C$33,"",IF(P146&lt;=0,"AGOTADO","OK"))</f>
        <v>OK</v>
      </c>
    </row>
    <row r="147" customFormat="false" ht="15" hidden="false" customHeight="false" outlineLevel="0" collapsed="false">
      <c r="A147" s="15" t="n">
        <f aca="false">A146+1</f>
        <v>145</v>
      </c>
      <c r="B147" s="15" t="n">
        <f aca="false">IF($A147="","",ROUNDUP($A147/12,0))</f>
        <v>13</v>
      </c>
      <c r="C147" s="15" t="n">
        <f aca="false">IF($A147="","",PARAMETROS!$C$6+INT(($A147-1)/12))</f>
        <v>77</v>
      </c>
      <c r="D147" s="15" t="n">
        <f aca="false">IF($A147="","",MOD($A147-1,12)+1)</f>
        <v>1</v>
      </c>
      <c r="E147" s="16" t="n">
        <f aca="false">IF($A147&gt;PARAMETROS!$C$33,"",P146)</f>
        <v>740134.448755853</v>
      </c>
      <c r="F147" s="17" t="n">
        <f aca="false">IF($A147&gt;PARAMETROS!$C$33,"",PARAMETROS!$C$38)</f>
        <v>0.00495440818448101</v>
      </c>
      <c r="G147" s="16" t="n">
        <f aca="false">IF($A147&gt;PARAMETROS!$C$33,"",E147*F147)</f>
        <v>3666.92817053234</v>
      </c>
      <c r="H147" s="16" t="n">
        <f aca="false">IF($A147&gt;PARAMETROS!$C$33,"",E147*PARAMETROS!$C$39)</f>
        <v>552.824126114894</v>
      </c>
      <c r="I147" s="16" t="n">
        <f aca="false">IF($A147&gt;PARAMETROS!$C$33,"",G147-H147)</f>
        <v>3114.10404441744</v>
      </c>
      <c r="J147" s="16" t="n">
        <f aca="false">IF($A147&gt;PARAMETROS!$C$33,"",PARAMETROS!$C$9*(1+PARAMETROS!$C$17)^(B147-1))</f>
        <v>47699.4975725509</v>
      </c>
      <c r="K147" s="16" t="n">
        <f aca="false">IF($A147&gt;PARAMETROS!$C$33,"",K146*(1+PARAMETROS!$C$36))</f>
        <v>41894.0572328549</v>
      </c>
      <c r="L147" s="16" t="n">
        <f aca="false">IF($A147&gt;PARAMETROS!$C$33,"",L146*(1+PARAMETROS!$C$37)*(1+M147))</f>
        <v>15387.1018171763</v>
      </c>
      <c r="M147" s="17" t="n">
        <f aca="false">IF($A147&gt;PARAMETROS!$C$33,"",IF(C147&lt;70,PARAMETROS!$C$40,IF(C147&lt;75,PARAMETROS!$C$41,IF(C147&lt;80,PARAMETROS!$C$42,IF(C147&lt;85,PARAMETROS!$C$43,IF(C147&lt;90,PARAMETROS!$C$44,PARAMETROS!$C$45))))))</f>
        <v>0.00165158130192022</v>
      </c>
      <c r="N147" s="16" t="n">
        <f aca="false">IF($A147&gt;PARAMETROS!$C$33,"",K147+L147)</f>
        <v>57281.1590500313</v>
      </c>
      <c r="O147" s="16" t="n">
        <f aca="false">IF($A147&gt;PARAMETROS!$C$33,"",I147+J147-N147)</f>
        <v>-6467.55743306296</v>
      </c>
      <c r="P147" s="16" t="n">
        <f aca="false">IF($A147&gt;PARAMETROS!$C$33,"",MAX(E147+I147+J147-N147,0))</f>
        <v>733666.891322791</v>
      </c>
      <c r="Q147" s="18" t="str">
        <f aca="false">IF($A147&gt;PARAMETROS!$C$33,"",IF(P147&lt;=0,"AGOTADO","OK"))</f>
        <v>OK</v>
      </c>
    </row>
    <row r="148" customFormat="false" ht="15" hidden="false" customHeight="false" outlineLevel="0" collapsed="false">
      <c r="A148" s="15" t="n">
        <f aca="false">A147+1</f>
        <v>146</v>
      </c>
      <c r="B148" s="15" t="n">
        <f aca="false">IF($A148="","",ROUNDUP($A148/12,0))</f>
        <v>13</v>
      </c>
      <c r="C148" s="15" t="n">
        <f aca="false">IF($A148="","",PARAMETROS!$C$6+INT(($A148-1)/12))</f>
        <v>77</v>
      </c>
      <c r="D148" s="15" t="n">
        <f aca="false">IF($A148="","",MOD($A148-1,12)+1)</f>
        <v>2</v>
      </c>
      <c r="E148" s="16" t="n">
        <f aca="false">IF($A148&gt;PARAMETROS!$C$33,"",P147)</f>
        <v>733666.891322791</v>
      </c>
      <c r="F148" s="17" t="n">
        <f aca="false">IF($A148&gt;PARAMETROS!$C$33,"",PARAMETROS!$C$38)</f>
        <v>0.00495440818448101</v>
      </c>
      <c r="G148" s="16" t="n">
        <f aca="false">IF($A148&gt;PARAMETROS!$C$33,"",E148*F148)</f>
        <v>3634.88525105237</v>
      </c>
      <c r="H148" s="16" t="n">
        <f aca="false">IF($A148&gt;PARAMETROS!$C$33,"",E148*PARAMETROS!$C$39)</f>
        <v>547.993352743865</v>
      </c>
      <c r="I148" s="16" t="n">
        <f aca="false">IF($A148&gt;PARAMETROS!$C$33,"",G148-H148)</f>
        <v>3086.89189830851</v>
      </c>
      <c r="J148" s="16" t="n">
        <f aca="false">IF($A148&gt;PARAMETROS!$C$33,"",PARAMETROS!$C$9*(1+PARAMETROS!$C$17)^(B148-1))</f>
        <v>47699.4975725509</v>
      </c>
      <c r="K148" s="16" t="n">
        <f aca="false">IF($A148&gt;PARAMETROS!$C$33,"",K147*(1+PARAMETROS!$C$36))</f>
        <v>42037.6011046868</v>
      </c>
      <c r="L148" s="16" t="n">
        <f aca="false">IF($A148&gt;PARAMETROS!$C$33,"",L147*(1+PARAMETROS!$C$37)*(1+M148))</f>
        <v>15473.3408680169</v>
      </c>
      <c r="M148" s="17" t="n">
        <f aca="false">IF($A148&gt;PARAMETROS!$C$33,"",IF(C148&lt;70,PARAMETROS!$C$40,IF(C148&lt;75,PARAMETROS!$C$41,IF(C148&lt;80,PARAMETROS!$C$42,IF(C148&lt;85,PARAMETROS!$C$43,IF(C148&lt;90,PARAMETROS!$C$44,PARAMETROS!$C$45))))))</f>
        <v>0.00165158130192022</v>
      </c>
      <c r="N148" s="16" t="n">
        <f aca="false">IF($A148&gt;PARAMETROS!$C$33,"",K148+L148)</f>
        <v>57510.9419727037</v>
      </c>
      <c r="O148" s="16" t="n">
        <f aca="false">IF($A148&gt;PARAMETROS!$C$33,"",I148+J148-N148)</f>
        <v>-6724.55250184436</v>
      </c>
      <c r="P148" s="16" t="n">
        <f aca="false">IF($A148&gt;PARAMETROS!$C$33,"",MAX(E148+I148+J148-N148,0))</f>
        <v>726942.338820946</v>
      </c>
      <c r="Q148" s="18" t="str">
        <f aca="false">IF($A148&gt;PARAMETROS!$C$33,"",IF(P148&lt;=0,"AGOTADO","OK"))</f>
        <v>OK</v>
      </c>
    </row>
    <row r="149" customFormat="false" ht="15" hidden="false" customHeight="false" outlineLevel="0" collapsed="false">
      <c r="A149" s="15" t="n">
        <f aca="false">A148+1</f>
        <v>147</v>
      </c>
      <c r="B149" s="15" t="n">
        <f aca="false">IF($A149="","",ROUNDUP($A149/12,0))</f>
        <v>13</v>
      </c>
      <c r="C149" s="15" t="n">
        <f aca="false">IF($A149="","",PARAMETROS!$C$6+INT(($A149-1)/12))</f>
        <v>77</v>
      </c>
      <c r="D149" s="15" t="n">
        <f aca="false">IF($A149="","",MOD($A149-1,12)+1)</f>
        <v>3</v>
      </c>
      <c r="E149" s="16" t="n">
        <f aca="false">IF($A149&gt;PARAMETROS!$C$33,"",P148)</f>
        <v>726942.338820946</v>
      </c>
      <c r="F149" s="17" t="n">
        <f aca="false">IF($A149&gt;PARAMETROS!$C$33,"",PARAMETROS!$C$38)</f>
        <v>0.00495440818448101</v>
      </c>
      <c r="G149" s="16" t="n">
        <f aca="false">IF($A149&gt;PARAMETROS!$C$33,"",E149*F149)</f>
        <v>3601.56907310026</v>
      </c>
      <c r="H149" s="16" t="n">
        <f aca="false">IF($A149&gt;PARAMETROS!$C$33,"",E149*PARAMETROS!$C$39)</f>
        <v>542.970623607835</v>
      </c>
      <c r="I149" s="16" t="n">
        <f aca="false">IF($A149&gt;PARAMETROS!$C$33,"",G149-H149)</f>
        <v>3058.59844949243</v>
      </c>
      <c r="J149" s="16" t="n">
        <f aca="false">IF($A149&gt;PARAMETROS!$C$33,"",PARAMETROS!$C$9*(1+PARAMETROS!$C$17)^(B149-1))</f>
        <v>47699.4975725509</v>
      </c>
      <c r="K149" s="16" t="n">
        <f aca="false">IF($A149&gt;PARAMETROS!$C$33,"",K148*(1+PARAMETROS!$C$36))</f>
        <v>42181.6368086425</v>
      </c>
      <c r="L149" s="16" t="n">
        <f aca="false">IF($A149&gt;PARAMETROS!$C$33,"",L148*(1+PARAMETROS!$C$37)*(1+M149))</f>
        <v>15560.0632570441</v>
      </c>
      <c r="M149" s="17" t="n">
        <f aca="false">IF($A149&gt;PARAMETROS!$C$33,"",IF(C149&lt;70,PARAMETROS!$C$40,IF(C149&lt;75,PARAMETROS!$C$41,IF(C149&lt;80,PARAMETROS!$C$42,IF(C149&lt;85,PARAMETROS!$C$43,IF(C149&lt;90,PARAMETROS!$C$44,PARAMETROS!$C$45))))))</f>
        <v>0.00165158130192022</v>
      </c>
      <c r="N149" s="16" t="n">
        <f aca="false">IF($A149&gt;PARAMETROS!$C$33,"",K149+L149)</f>
        <v>57741.7000656866</v>
      </c>
      <c r="O149" s="16" t="n">
        <f aca="false">IF($A149&gt;PARAMETROS!$C$33,"",I149+J149-N149)</f>
        <v>-6983.60404364327</v>
      </c>
      <c r="P149" s="16" t="n">
        <f aca="false">IF($A149&gt;PARAMETROS!$C$33,"",MAX(E149+I149+J149-N149,0))</f>
        <v>719958.734777303</v>
      </c>
      <c r="Q149" s="18" t="str">
        <f aca="false">IF($A149&gt;PARAMETROS!$C$33,"",IF(P149&lt;=0,"AGOTADO","OK"))</f>
        <v>OK</v>
      </c>
    </row>
    <row r="150" customFormat="false" ht="15" hidden="false" customHeight="false" outlineLevel="0" collapsed="false">
      <c r="A150" s="15" t="n">
        <f aca="false">A149+1</f>
        <v>148</v>
      </c>
      <c r="B150" s="15" t="n">
        <f aca="false">IF($A150="","",ROUNDUP($A150/12,0))</f>
        <v>13</v>
      </c>
      <c r="C150" s="15" t="n">
        <f aca="false">IF($A150="","",PARAMETROS!$C$6+INT(($A150-1)/12))</f>
        <v>77</v>
      </c>
      <c r="D150" s="15" t="n">
        <f aca="false">IF($A150="","",MOD($A150-1,12)+1)</f>
        <v>4</v>
      </c>
      <c r="E150" s="16" t="n">
        <f aca="false">IF($A150&gt;PARAMETROS!$C$33,"",P149)</f>
        <v>719958.734777303</v>
      </c>
      <c r="F150" s="17" t="n">
        <f aca="false">IF($A150&gt;PARAMETROS!$C$33,"",PARAMETROS!$C$38)</f>
        <v>0.00495440818448101</v>
      </c>
      <c r="G150" s="16" t="n">
        <f aca="false">IF($A150&gt;PARAMETROS!$C$33,"",E150*F150)</f>
        <v>3566.96944806926</v>
      </c>
      <c r="H150" s="16" t="n">
        <f aca="false">IF($A150&gt;PARAMETROS!$C$33,"",E150*PARAMETROS!$C$39)</f>
        <v>537.754402677909</v>
      </c>
      <c r="I150" s="16" t="n">
        <f aca="false">IF($A150&gt;PARAMETROS!$C$33,"",G150-H150)</f>
        <v>3029.21504539135</v>
      </c>
      <c r="J150" s="16" t="n">
        <f aca="false">IF($A150&gt;PARAMETROS!$C$33,"",PARAMETROS!$C$9*(1+PARAMETROS!$C$17)^(B150-1))</f>
        <v>47699.4975725509</v>
      </c>
      <c r="K150" s="16" t="n">
        <f aca="false">IF($A150&gt;PARAMETROS!$C$33,"",K149*(1+PARAMETROS!$C$36))</f>
        <v>42326.1660299129</v>
      </c>
      <c r="L150" s="16" t="n">
        <f aca="false">IF($A150&gt;PARAMETROS!$C$33,"",L149*(1+PARAMETROS!$C$37)*(1+M150))</f>
        <v>15647.2716931908</v>
      </c>
      <c r="M150" s="17" t="n">
        <f aca="false">IF($A150&gt;PARAMETROS!$C$33,"",IF(C150&lt;70,PARAMETROS!$C$40,IF(C150&lt;75,PARAMETROS!$C$41,IF(C150&lt;80,PARAMETROS!$C$42,IF(C150&lt;85,PARAMETROS!$C$43,IF(C150&lt;90,PARAMETROS!$C$44,PARAMETROS!$C$45))))))</f>
        <v>0.00165158130192022</v>
      </c>
      <c r="N150" s="16" t="n">
        <f aca="false">IF($A150&gt;PARAMETROS!$C$33,"",K150+L150)</f>
        <v>57973.4377231036</v>
      </c>
      <c r="O150" s="16" t="n">
        <f aca="false">IF($A150&gt;PARAMETROS!$C$33,"",I150+J150-N150)</f>
        <v>-7244.72510516143</v>
      </c>
      <c r="P150" s="16" t="n">
        <f aca="false">IF($A150&gt;PARAMETROS!$C$33,"",MAX(E150+I150+J150-N150,0))</f>
        <v>712714.009672142</v>
      </c>
      <c r="Q150" s="18" t="str">
        <f aca="false">IF($A150&gt;PARAMETROS!$C$33,"",IF(P150&lt;=0,"AGOTADO","OK"))</f>
        <v>OK</v>
      </c>
    </row>
    <row r="151" customFormat="false" ht="15" hidden="false" customHeight="false" outlineLevel="0" collapsed="false">
      <c r="A151" s="15" t="n">
        <f aca="false">A150+1</f>
        <v>149</v>
      </c>
      <c r="B151" s="15" t="n">
        <f aca="false">IF($A151="","",ROUNDUP($A151/12,0))</f>
        <v>13</v>
      </c>
      <c r="C151" s="15" t="n">
        <f aca="false">IF($A151="","",PARAMETROS!$C$6+INT(($A151-1)/12))</f>
        <v>77</v>
      </c>
      <c r="D151" s="15" t="n">
        <f aca="false">IF($A151="","",MOD($A151-1,12)+1)</f>
        <v>5</v>
      </c>
      <c r="E151" s="16" t="n">
        <f aca="false">IF($A151&gt;PARAMETROS!$C$33,"",P150)</f>
        <v>712714.009672142</v>
      </c>
      <c r="F151" s="17" t="n">
        <f aca="false">IF($A151&gt;PARAMETROS!$C$33,"",PARAMETROS!$C$38)</f>
        <v>0.00495440818448101</v>
      </c>
      <c r="G151" s="16" t="n">
        <f aca="false">IF($A151&gt;PARAMETROS!$C$33,"",E151*F151)</f>
        <v>3531.07612271393</v>
      </c>
      <c r="H151" s="16" t="n">
        <f aca="false">IF($A151&gt;PARAMETROS!$C$33,"",E151*PARAMETROS!$C$39)</f>
        <v>532.343144180299</v>
      </c>
      <c r="I151" s="16" t="n">
        <f aca="false">IF($A151&gt;PARAMETROS!$C$33,"",G151-H151)</f>
        <v>2998.73297853364</v>
      </c>
      <c r="J151" s="16" t="n">
        <f aca="false">IF($A151&gt;PARAMETROS!$C$33,"",PARAMETROS!$C$9*(1+PARAMETROS!$C$17)^(B151-1))</f>
        <v>47699.4975725509</v>
      </c>
      <c r="K151" s="16" t="n">
        <f aca="false">IF($A151&gt;PARAMETROS!$C$33,"",K150*(1+PARAMETROS!$C$36))</f>
        <v>42471.190459463</v>
      </c>
      <c r="L151" s="16" t="n">
        <f aca="false">IF($A151&gt;PARAMETROS!$C$33,"",L150*(1+PARAMETROS!$C$37)*(1+M151))</f>
        <v>15734.9689005725</v>
      </c>
      <c r="M151" s="17" t="n">
        <f aca="false">IF($A151&gt;PARAMETROS!$C$33,"",IF(C151&lt;70,PARAMETROS!$C$40,IF(C151&lt;75,PARAMETROS!$C$41,IF(C151&lt;80,PARAMETROS!$C$42,IF(C151&lt;85,PARAMETROS!$C$43,IF(C151&lt;90,PARAMETROS!$C$44,PARAMETROS!$C$45))))))</f>
        <v>0.00165158130192022</v>
      </c>
      <c r="N151" s="16" t="n">
        <f aca="false">IF($A151&gt;PARAMETROS!$C$33,"",K151+L151)</f>
        <v>58206.1593600355</v>
      </c>
      <c r="O151" s="16" t="n">
        <f aca="false">IF($A151&gt;PARAMETROS!$C$33,"",I151+J151-N151)</f>
        <v>-7507.92880895099</v>
      </c>
      <c r="P151" s="16" t="n">
        <f aca="false">IF($A151&gt;PARAMETROS!$C$33,"",MAX(E151+I151+J151-N151,0))</f>
        <v>705206.080863191</v>
      </c>
      <c r="Q151" s="18" t="str">
        <f aca="false">IF($A151&gt;PARAMETROS!$C$33,"",IF(P151&lt;=0,"AGOTADO","OK"))</f>
        <v>OK</v>
      </c>
    </row>
    <row r="152" customFormat="false" ht="15" hidden="false" customHeight="false" outlineLevel="0" collapsed="false">
      <c r="A152" s="15" t="n">
        <f aca="false">A151+1</f>
        <v>150</v>
      </c>
      <c r="B152" s="15" t="n">
        <f aca="false">IF($A152="","",ROUNDUP($A152/12,0))</f>
        <v>13</v>
      </c>
      <c r="C152" s="15" t="n">
        <f aca="false">IF($A152="","",PARAMETROS!$C$6+INT(($A152-1)/12))</f>
        <v>77</v>
      </c>
      <c r="D152" s="15" t="n">
        <f aca="false">IF($A152="","",MOD($A152-1,12)+1)</f>
        <v>6</v>
      </c>
      <c r="E152" s="16" t="n">
        <f aca="false">IF($A152&gt;PARAMETROS!$C$33,"",P151)</f>
        <v>705206.080863191</v>
      </c>
      <c r="F152" s="17" t="n">
        <f aca="false">IF($A152&gt;PARAMETROS!$C$33,"",PARAMETROS!$C$38)</f>
        <v>0.00495440818448101</v>
      </c>
      <c r="G152" s="16" t="n">
        <f aca="false">IF($A152&gt;PARAMETROS!$C$33,"",E152*F152)</f>
        <v>3493.87877877437</v>
      </c>
      <c r="H152" s="16" t="n">
        <f aca="false">IF($A152&gt;PARAMETROS!$C$33,"",E152*PARAMETROS!$C$39)</f>
        <v>526.735292539671</v>
      </c>
      <c r="I152" s="16" t="n">
        <f aca="false">IF($A152&gt;PARAMETROS!$C$33,"",G152-H152)</f>
        <v>2967.1434862347</v>
      </c>
      <c r="J152" s="16" t="n">
        <f aca="false">IF($A152&gt;PARAMETROS!$C$33,"",PARAMETROS!$C$9*(1+PARAMETROS!$C$17)^(B152-1))</f>
        <v>47699.4975725509</v>
      </c>
      <c r="K152" s="16" t="n">
        <f aca="false">IF($A152&gt;PARAMETROS!$C$33,"",K151*(1+PARAMETROS!$C$36))</f>
        <v>42616.7117940517</v>
      </c>
      <c r="L152" s="16" t="n">
        <f aca="false">IF($A152&gt;PARAMETROS!$C$33,"",L151*(1+PARAMETROS!$C$37)*(1+M152))</f>
        <v>15823.1576185724</v>
      </c>
      <c r="M152" s="17" t="n">
        <f aca="false">IF($A152&gt;PARAMETROS!$C$33,"",IF(C152&lt;70,PARAMETROS!$C$40,IF(C152&lt;75,PARAMETROS!$C$41,IF(C152&lt;80,PARAMETROS!$C$42,IF(C152&lt;85,PARAMETROS!$C$43,IF(C152&lt;90,PARAMETROS!$C$44,PARAMETROS!$C$45))))))</f>
        <v>0.00165158130192022</v>
      </c>
      <c r="N152" s="16" t="n">
        <f aca="false">IF($A152&gt;PARAMETROS!$C$33,"",K152+L152)</f>
        <v>58439.8694126241</v>
      </c>
      <c r="O152" s="16" t="n">
        <f aca="false">IF($A152&gt;PARAMETROS!$C$33,"",I152+J152-N152)</f>
        <v>-7773.2283538386</v>
      </c>
      <c r="P152" s="16" t="n">
        <f aca="false">IF($A152&gt;PARAMETROS!$C$33,"",MAX(E152+I152+J152-N152,0))</f>
        <v>697432.852509352</v>
      </c>
      <c r="Q152" s="18" t="str">
        <f aca="false">IF($A152&gt;PARAMETROS!$C$33,"",IF(P152&lt;=0,"AGOTADO","OK"))</f>
        <v>OK</v>
      </c>
    </row>
    <row r="153" customFormat="false" ht="15" hidden="false" customHeight="false" outlineLevel="0" collapsed="false">
      <c r="A153" s="15" t="n">
        <f aca="false">A152+1</f>
        <v>151</v>
      </c>
      <c r="B153" s="15" t="n">
        <f aca="false">IF($A153="","",ROUNDUP($A153/12,0))</f>
        <v>13</v>
      </c>
      <c r="C153" s="15" t="n">
        <f aca="false">IF($A153="","",PARAMETROS!$C$6+INT(($A153-1)/12))</f>
        <v>77</v>
      </c>
      <c r="D153" s="15" t="n">
        <f aca="false">IF($A153="","",MOD($A153-1,12)+1)</f>
        <v>7</v>
      </c>
      <c r="E153" s="16" t="n">
        <f aca="false">IF($A153&gt;PARAMETROS!$C$33,"",P152)</f>
        <v>697432.852509352</v>
      </c>
      <c r="F153" s="17" t="n">
        <f aca="false">IF($A153&gt;PARAMETROS!$C$33,"",PARAMETROS!$C$38)</f>
        <v>0.00495440818448101</v>
      </c>
      <c r="G153" s="16" t="n">
        <f aca="false">IF($A153&gt;PARAMETROS!$C$33,"",E153*F153)</f>
        <v>3455.36703259827</v>
      </c>
      <c r="H153" s="16" t="n">
        <f aca="false">IF($A153&gt;PARAMETROS!$C$33,"",E153*PARAMETROS!$C$39)</f>
        <v>520.929282322168</v>
      </c>
      <c r="I153" s="16" t="n">
        <f aca="false">IF($A153&gt;PARAMETROS!$C$33,"",G153-H153)</f>
        <v>2934.4377502761</v>
      </c>
      <c r="J153" s="16" t="n">
        <f aca="false">IF($A153&gt;PARAMETROS!$C$33,"",PARAMETROS!$C$9*(1+PARAMETROS!$C$17)^(B153-1))</f>
        <v>47699.4975725509</v>
      </c>
      <c r="K153" s="16" t="n">
        <f aca="false">IF($A153&gt;PARAMETROS!$C$33,"",K152*(1+PARAMETROS!$C$36))</f>
        <v>42762.7317362517</v>
      </c>
      <c r="L153" s="16" t="n">
        <f aca="false">IF($A153&gt;PARAMETROS!$C$33,"",L152*(1+PARAMETROS!$C$37)*(1+M153))</f>
        <v>15911.8406019269</v>
      </c>
      <c r="M153" s="17" t="n">
        <f aca="false">IF($A153&gt;PARAMETROS!$C$33,"",IF(C153&lt;70,PARAMETROS!$C$40,IF(C153&lt;75,PARAMETROS!$C$41,IF(C153&lt;80,PARAMETROS!$C$42,IF(C153&lt;85,PARAMETROS!$C$43,IF(C153&lt;90,PARAMETROS!$C$44,PARAMETROS!$C$45))))))</f>
        <v>0.00165158130192022</v>
      </c>
      <c r="N153" s="16" t="n">
        <f aca="false">IF($A153&gt;PARAMETROS!$C$33,"",K153+L153)</f>
        <v>58674.5723381786</v>
      </c>
      <c r="O153" s="16" t="n">
        <f aca="false">IF($A153&gt;PARAMETROS!$C$33,"",I153+J153-N153)</f>
        <v>-8040.63701535161</v>
      </c>
      <c r="P153" s="16" t="n">
        <f aca="false">IF($A153&gt;PARAMETROS!$C$33,"",MAX(E153+I153+J153-N153,0))</f>
        <v>689392.215494001</v>
      </c>
      <c r="Q153" s="18" t="str">
        <f aca="false">IF($A153&gt;PARAMETROS!$C$33,"",IF(P153&lt;=0,"AGOTADO","OK"))</f>
        <v>OK</v>
      </c>
    </row>
    <row r="154" customFormat="false" ht="15" hidden="false" customHeight="false" outlineLevel="0" collapsed="false">
      <c r="A154" s="15" t="n">
        <f aca="false">A153+1</f>
        <v>152</v>
      </c>
      <c r="B154" s="15" t="n">
        <f aca="false">IF($A154="","",ROUNDUP($A154/12,0))</f>
        <v>13</v>
      </c>
      <c r="C154" s="15" t="n">
        <f aca="false">IF($A154="","",PARAMETROS!$C$6+INT(($A154-1)/12))</f>
        <v>77</v>
      </c>
      <c r="D154" s="15" t="n">
        <f aca="false">IF($A154="","",MOD($A154-1,12)+1)</f>
        <v>8</v>
      </c>
      <c r="E154" s="16" t="n">
        <f aca="false">IF($A154&gt;PARAMETROS!$C$33,"",P153)</f>
        <v>689392.215494001</v>
      </c>
      <c r="F154" s="17" t="n">
        <f aca="false">IF($A154&gt;PARAMETROS!$C$33,"",PARAMETROS!$C$38)</f>
        <v>0.00495440818448101</v>
      </c>
      <c r="G154" s="16" t="n">
        <f aca="false">IF($A154&gt;PARAMETROS!$C$33,"",E154*F154)</f>
        <v>3415.53043476097</v>
      </c>
      <c r="H154" s="16" t="n">
        <f aca="false">IF($A154&gt;PARAMETROS!$C$33,"",E154*PARAMETROS!$C$39)</f>
        <v>514.923538178127</v>
      </c>
      <c r="I154" s="16" t="n">
        <f aca="false">IF($A154&gt;PARAMETROS!$C$33,"",G154-H154)</f>
        <v>2900.60689658284</v>
      </c>
      <c r="J154" s="16" t="n">
        <f aca="false">IF($A154&gt;PARAMETROS!$C$33,"",PARAMETROS!$C$9*(1+PARAMETROS!$C$17)^(B154-1))</f>
        <v>47699.4975725509</v>
      </c>
      <c r="K154" s="16" t="n">
        <f aca="false">IF($A154&gt;PARAMETROS!$C$33,"",K153*(1+PARAMETROS!$C$36))</f>
        <v>42909.2519944691</v>
      </c>
      <c r="L154" s="16" t="n">
        <f aca="false">IF($A154&gt;PARAMETROS!$C$33,"",L153*(1+PARAMETROS!$C$37)*(1+M154))</f>
        <v>16001.0206208115</v>
      </c>
      <c r="M154" s="17" t="n">
        <f aca="false">IF($A154&gt;PARAMETROS!$C$33,"",IF(C154&lt;70,PARAMETROS!$C$40,IF(C154&lt;75,PARAMETROS!$C$41,IF(C154&lt;80,PARAMETROS!$C$42,IF(C154&lt;85,PARAMETROS!$C$43,IF(C154&lt;90,PARAMETROS!$C$44,PARAMETROS!$C$45))))))</f>
        <v>0.00165158130192022</v>
      </c>
      <c r="N154" s="16" t="n">
        <f aca="false">IF($A154&gt;PARAMETROS!$C$33,"",K154+L154)</f>
        <v>58910.2726152806</v>
      </c>
      <c r="O154" s="16" t="n">
        <f aca="false">IF($A154&gt;PARAMETROS!$C$33,"",I154+J154-N154)</f>
        <v>-8310.16814614691</v>
      </c>
      <c r="P154" s="16" t="n">
        <f aca="false">IF($A154&gt;PARAMETROS!$C$33,"",MAX(E154+I154+J154-N154,0))</f>
        <v>681082.047347854</v>
      </c>
      <c r="Q154" s="18" t="str">
        <f aca="false">IF($A154&gt;PARAMETROS!$C$33,"",IF(P154&lt;=0,"AGOTADO","OK"))</f>
        <v>OK</v>
      </c>
    </row>
    <row r="155" customFormat="false" ht="15" hidden="false" customHeight="false" outlineLevel="0" collapsed="false">
      <c r="A155" s="15" t="n">
        <f aca="false">A154+1</f>
        <v>153</v>
      </c>
      <c r="B155" s="15" t="n">
        <f aca="false">IF($A155="","",ROUNDUP($A155/12,0))</f>
        <v>13</v>
      </c>
      <c r="C155" s="15" t="n">
        <f aca="false">IF($A155="","",PARAMETROS!$C$6+INT(($A155-1)/12))</f>
        <v>77</v>
      </c>
      <c r="D155" s="15" t="n">
        <f aca="false">IF($A155="","",MOD($A155-1,12)+1)</f>
        <v>9</v>
      </c>
      <c r="E155" s="16" t="n">
        <f aca="false">IF($A155&gt;PARAMETROS!$C$33,"",P154)</f>
        <v>681082.047347854</v>
      </c>
      <c r="F155" s="17" t="n">
        <f aca="false">IF($A155&gt;PARAMETROS!$C$33,"",PARAMETROS!$C$38)</f>
        <v>0.00495440818448101</v>
      </c>
      <c r="G155" s="16" t="n">
        <f aca="false">IF($A155&gt;PARAMETROS!$C$33,"",E155*F155)</f>
        <v>3374.35846968329</v>
      </c>
      <c r="H155" s="16" t="n">
        <f aca="false">IF($A155&gt;PARAMETROS!$C$33,"",E155*PARAMETROS!$C$39)</f>
        <v>508.716474784464</v>
      </c>
      <c r="I155" s="16" t="n">
        <f aca="false">IF($A155&gt;PARAMETROS!$C$33,"",G155-H155)</f>
        <v>2865.64199489882</v>
      </c>
      <c r="J155" s="16" t="n">
        <f aca="false">IF($A155&gt;PARAMETROS!$C$33,"",PARAMETROS!$C$9*(1+PARAMETROS!$C$17)^(B155-1))</f>
        <v>47699.4975725509</v>
      </c>
      <c r="K155" s="16" t="n">
        <f aca="false">IF($A155&gt;PARAMETROS!$C$33,"",K154*(1+PARAMETROS!$C$36))</f>
        <v>43056.2742829637</v>
      </c>
      <c r="L155" s="16" t="n">
        <f aca="false">IF($A155&gt;PARAMETROS!$C$33,"",L154*(1+PARAMETROS!$C$37)*(1+M155))</f>
        <v>16090.7004609279</v>
      </c>
      <c r="M155" s="17" t="n">
        <f aca="false">IF($A155&gt;PARAMETROS!$C$33,"",IF(C155&lt;70,PARAMETROS!$C$40,IF(C155&lt;75,PARAMETROS!$C$41,IF(C155&lt;80,PARAMETROS!$C$42,IF(C155&lt;85,PARAMETROS!$C$43,IF(C155&lt;90,PARAMETROS!$C$44,PARAMETROS!$C$45))))))</f>
        <v>0.00165158130192022</v>
      </c>
      <c r="N155" s="16" t="n">
        <f aca="false">IF($A155&gt;PARAMETROS!$C$33,"",K155+L155)</f>
        <v>59146.9747438916</v>
      </c>
      <c r="O155" s="16" t="n">
        <f aca="false">IF($A155&gt;PARAMETROS!$C$33,"",I155+J155-N155)</f>
        <v>-8581.8351764419</v>
      </c>
      <c r="P155" s="16" t="n">
        <f aca="false">IF($A155&gt;PARAMETROS!$C$33,"",MAX(E155+I155+J155-N155,0))</f>
        <v>672500.212171412</v>
      </c>
      <c r="Q155" s="18" t="str">
        <f aca="false">IF($A155&gt;PARAMETROS!$C$33,"",IF(P155&lt;=0,"AGOTADO","OK"))</f>
        <v>OK</v>
      </c>
    </row>
    <row r="156" customFormat="false" ht="15" hidden="false" customHeight="false" outlineLevel="0" collapsed="false">
      <c r="A156" s="15" t="n">
        <f aca="false">A155+1</f>
        <v>154</v>
      </c>
      <c r="B156" s="15" t="n">
        <f aca="false">IF($A156="","",ROUNDUP($A156/12,0))</f>
        <v>13</v>
      </c>
      <c r="C156" s="15" t="n">
        <f aca="false">IF($A156="","",PARAMETROS!$C$6+INT(($A156-1)/12))</f>
        <v>77</v>
      </c>
      <c r="D156" s="15" t="n">
        <f aca="false">IF($A156="","",MOD($A156-1,12)+1)</f>
        <v>10</v>
      </c>
      <c r="E156" s="16" t="n">
        <f aca="false">IF($A156&gt;PARAMETROS!$C$33,"",P155)</f>
        <v>672500.212171412</v>
      </c>
      <c r="F156" s="17" t="n">
        <f aca="false">IF($A156&gt;PARAMETROS!$C$33,"",PARAMETROS!$C$38)</f>
        <v>0.00495440818448101</v>
      </c>
      <c r="G156" s="16" t="n">
        <f aca="false">IF($A156&gt;PARAMETROS!$C$33,"",E156*F156)</f>
        <v>3331.84055524726</v>
      </c>
      <c r="H156" s="16" t="n">
        <f aca="false">IF($A156&gt;PARAMETROS!$C$33,"",E156*PARAMETROS!$C$39)</f>
        <v>502.306496786745</v>
      </c>
      <c r="I156" s="16" t="n">
        <f aca="false">IF($A156&gt;PARAMETROS!$C$33,"",G156-H156)</f>
        <v>2829.53405846051</v>
      </c>
      <c r="J156" s="16" t="n">
        <f aca="false">IF($A156&gt;PARAMETROS!$C$33,"",PARAMETROS!$C$9*(1+PARAMETROS!$C$17)^(B156-1))</f>
        <v>47699.4975725509</v>
      </c>
      <c r="K156" s="16" t="n">
        <f aca="false">IF($A156&gt;PARAMETROS!$C$33,"",K155*(1+PARAMETROS!$C$36))</f>
        <v>43203.800321869</v>
      </c>
      <c r="L156" s="16" t="n">
        <f aca="false">IF($A156&gt;PARAMETROS!$C$33,"",L155*(1+PARAMETROS!$C$37)*(1+M156))</f>
        <v>16180.8829235903</v>
      </c>
      <c r="M156" s="17" t="n">
        <f aca="false">IF($A156&gt;PARAMETROS!$C$33,"",IF(C156&lt;70,PARAMETROS!$C$40,IF(C156&lt;75,PARAMETROS!$C$41,IF(C156&lt;80,PARAMETROS!$C$42,IF(C156&lt;85,PARAMETROS!$C$43,IF(C156&lt;90,PARAMETROS!$C$44,PARAMETROS!$C$45))))))</f>
        <v>0.00165158130192022</v>
      </c>
      <c r="N156" s="16" t="n">
        <f aca="false">IF($A156&gt;PARAMETROS!$C$33,"",K156+L156)</f>
        <v>59384.6832454593</v>
      </c>
      <c r="O156" s="16" t="n">
        <f aca="false">IF($A156&gt;PARAMETROS!$C$33,"",I156+J156-N156)</f>
        <v>-8855.65161444788</v>
      </c>
      <c r="P156" s="16" t="n">
        <f aca="false">IF($A156&gt;PARAMETROS!$C$33,"",MAX(E156+I156+J156-N156,0))</f>
        <v>663644.560556964</v>
      </c>
      <c r="Q156" s="18" t="str">
        <f aca="false">IF($A156&gt;PARAMETROS!$C$33,"",IF(P156&lt;=0,"AGOTADO","OK"))</f>
        <v>OK</v>
      </c>
    </row>
    <row r="157" customFormat="false" ht="15" hidden="false" customHeight="false" outlineLevel="0" collapsed="false">
      <c r="A157" s="15" t="n">
        <f aca="false">A156+1</f>
        <v>155</v>
      </c>
      <c r="B157" s="15" t="n">
        <f aca="false">IF($A157="","",ROUNDUP($A157/12,0))</f>
        <v>13</v>
      </c>
      <c r="C157" s="15" t="n">
        <f aca="false">IF($A157="","",PARAMETROS!$C$6+INT(($A157-1)/12))</f>
        <v>77</v>
      </c>
      <c r="D157" s="15" t="n">
        <f aca="false">IF($A157="","",MOD($A157-1,12)+1)</f>
        <v>11</v>
      </c>
      <c r="E157" s="16" t="n">
        <f aca="false">IF($A157&gt;PARAMETROS!$C$33,"",P156)</f>
        <v>663644.560556964</v>
      </c>
      <c r="F157" s="17" t="n">
        <f aca="false">IF($A157&gt;PARAMETROS!$C$33,"",PARAMETROS!$C$38)</f>
        <v>0.00495440818448101</v>
      </c>
      <c r="G157" s="16" t="n">
        <f aca="false">IF($A157&gt;PARAMETROS!$C$33,"",E157*F157)</f>
        <v>3287.96604240972</v>
      </c>
      <c r="H157" s="16" t="n">
        <f aca="false">IF($A157&gt;PARAMETROS!$C$33,"",E157*PARAMETROS!$C$39)</f>
        <v>495.691998740931</v>
      </c>
      <c r="I157" s="16" t="n">
        <f aca="false">IF($A157&gt;PARAMETROS!$C$33,"",G157-H157)</f>
        <v>2792.27404366879</v>
      </c>
      <c r="J157" s="16" t="n">
        <f aca="false">IF($A157&gt;PARAMETROS!$C$33,"",PARAMETROS!$C$9*(1+PARAMETROS!$C$17)^(B157-1))</f>
        <v>47699.4975725509</v>
      </c>
      <c r="K157" s="16" t="n">
        <f aca="false">IF($A157&gt;PARAMETROS!$C$33,"",K156*(1+PARAMETROS!$C$36))</f>
        <v>43351.8318372122</v>
      </c>
      <c r="L157" s="16" t="n">
        <f aca="false">IF($A157&gt;PARAMETROS!$C$33,"",L156*(1+PARAMETROS!$C$37)*(1+M157))</f>
        <v>16271.5708258134</v>
      </c>
      <c r="M157" s="17" t="n">
        <f aca="false">IF($A157&gt;PARAMETROS!$C$33,"",IF(C157&lt;70,PARAMETROS!$C$40,IF(C157&lt;75,PARAMETROS!$C$41,IF(C157&lt;80,PARAMETROS!$C$42,IF(C157&lt;85,PARAMETROS!$C$43,IF(C157&lt;90,PARAMETROS!$C$44,PARAMETROS!$C$45))))))</f>
        <v>0.00165158130192022</v>
      </c>
      <c r="N157" s="16" t="n">
        <f aca="false">IF($A157&gt;PARAMETROS!$C$33,"",K157+L157)</f>
        <v>59623.4026630255</v>
      </c>
      <c r="O157" s="16" t="n">
        <f aca="false">IF($A157&gt;PARAMETROS!$C$33,"",I157+J157-N157)</f>
        <v>-9131.63104680587</v>
      </c>
      <c r="P157" s="16" t="n">
        <f aca="false">IF($A157&gt;PARAMETROS!$C$33,"",MAX(E157+I157+J157-N157,0))</f>
        <v>654512.929510158</v>
      </c>
      <c r="Q157" s="18" t="str">
        <f aca="false">IF($A157&gt;PARAMETROS!$C$33,"",IF(P157&lt;=0,"AGOTADO","OK"))</f>
        <v>OK</v>
      </c>
    </row>
    <row r="158" customFormat="false" ht="15" hidden="false" customHeight="false" outlineLevel="0" collapsed="false">
      <c r="A158" s="15" t="n">
        <f aca="false">A157+1</f>
        <v>156</v>
      </c>
      <c r="B158" s="15" t="n">
        <f aca="false">IF($A158="","",ROUNDUP($A158/12,0))</f>
        <v>13</v>
      </c>
      <c r="C158" s="15" t="n">
        <f aca="false">IF($A158="","",PARAMETROS!$C$6+INT(($A158-1)/12))</f>
        <v>77</v>
      </c>
      <c r="D158" s="15" t="n">
        <f aca="false">IF($A158="","",MOD($A158-1,12)+1)</f>
        <v>12</v>
      </c>
      <c r="E158" s="16" t="n">
        <f aca="false">IF($A158&gt;PARAMETROS!$C$33,"",P157)</f>
        <v>654512.929510158</v>
      </c>
      <c r="F158" s="17" t="n">
        <f aca="false">IF($A158&gt;PARAMETROS!$C$33,"",PARAMETROS!$C$38)</f>
        <v>0.00495440818448101</v>
      </c>
      <c r="G158" s="16" t="n">
        <f aca="false">IF($A158&gt;PARAMETROS!$C$33,"",E158*F158)</f>
        <v>3242.72421481377</v>
      </c>
      <c r="H158" s="16" t="n">
        <f aca="false">IF($A158&gt;PARAMETROS!$C$33,"",E158*PARAMETROS!$C$39)</f>
        <v>488.871365054795</v>
      </c>
      <c r="I158" s="16" t="n">
        <f aca="false">IF($A158&gt;PARAMETROS!$C$33,"",G158-H158)</f>
        <v>2753.85284975897</v>
      </c>
      <c r="J158" s="16" t="n">
        <f aca="false">IF($A158&gt;PARAMETROS!$C$33,"",PARAMETROS!$C$9*(1+PARAMETROS!$C$17)^(B158-1))</f>
        <v>47699.4975725509</v>
      </c>
      <c r="K158" s="16" t="n">
        <f aca="false">IF($A158&gt;PARAMETROS!$C$33,"",K157*(1+PARAMETROS!$C$36))</f>
        <v>43500.3705609345</v>
      </c>
      <c r="L158" s="16" t="n">
        <f aca="false">IF($A158&gt;PARAMETROS!$C$33,"",L157*(1+PARAMETROS!$C$37)*(1+M158))</f>
        <v>16362.7670004001</v>
      </c>
      <c r="M158" s="17" t="n">
        <f aca="false">IF($A158&gt;PARAMETROS!$C$33,"",IF(C158&lt;70,PARAMETROS!$C$40,IF(C158&lt;75,PARAMETROS!$C$41,IF(C158&lt;80,PARAMETROS!$C$42,IF(C158&lt;85,PARAMETROS!$C$43,IF(C158&lt;90,PARAMETROS!$C$44,PARAMETROS!$C$45))))))</f>
        <v>0.00165158130192022</v>
      </c>
      <c r="N158" s="16" t="n">
        <f aca="false">IF($A158&gt;PARAMETROS!$C$33,"",K158+L158)</f>
        <v>59863.1375613346</v>
      </c>
      <c r="O158" s="16" t="n">
        <f aca="false">IF($A158&gt;PARAMETROS!$C$33,"",I158+J158-N158)</f>
        <v>-9409.78713902478</v>
      </c>
      <c r="P158" s="16" t="n">
        <f aca="false">IF($A158&gt;PARAMETROS!$C$33,"",MAX(E158+I158+J158-N158,0))</f>
        <v>645103.142371133</v>
      </c>
      <c r="Q158" s="18" t="str">
        <f aca="false">IF($A158&gt;PARAMETROS!$C$33,"",IF(P158&lt;=0,"AGOTADO","OK"))</f>
        <v>OK</v>
      </c>
    </row>
    <row r="159" customFormat="false" ht="15" hidden="false" customHeight="false" outlineLevel="0" collapsed="false">
      <c r="A159" s="19" t="n">
        <f aca="false">A158+1</f>
        <v>157</v>
      </c>
      <c r="B159" s="19" t="n">
        <f aca="false">IF($A159="","",ROUNDUP($A159/12,0))</f>
        <v>14</v>
      </c>
      <c r="C159" s="19" t="n">
        <f aca="false">IF($A159="","",PARAMETROS!$C$6+INT(($A159-1)/12))</f>
        <v>78</v>
      </c>
      <c r="D159" s="19" t="n">
        <f aca="false">IF($A159="","",MOD($A159-1,12)+1)</f>
        <v>1</v>
      </c>
      <c r="E159" s="20" t="n">
        <f aca="false">IF($A159&gt;PARAMETROS!$C$33,"",P158)</f>
        <v>645103.142371133</v>
      </c>
      <c r="F159" s="21" t="n">
        <f aca="false">IF($A159&gt;PARAMETROS!$C$33,"",PARAMETROS!$C$38)</f>
        <v>0.00495440818448101</v>
      </c>
      <c r="G159" s="20" t="n">
        <f aca="false">IF($A159&gt;PARAMETROS!$C$33,"",E159*F159)</f>
        <v>3196.10428839796</v>
      </c>
      <c r="H159" s="20" t="n">
        <f aca="false">IF($A159&gt;PARAMETROS!$C$33,"",E159*PARAMETROS!$C$39)</f>
        <v>481.842969929014</v>
      </c>
      <c r="I159" s="20" t="n">
        <f aca="false">IF($A159&gt;PARAMETROS!$C$33,"",G159-H159)</f>
        <v>2714.26131846895</v>
      </c>
      <c r="J159" s="20" t="n">
        <f aca="false">IF($A159&gt;PARAMETROS!$C$33,"",PARAMETROS!$C$9*(1+PARAMETROS!$C$17)^(B159-1))</f>
        <v>49578.8577769094</v>
      </c>
      <c r="K159" s="20" t="n">
        <f aca="false">IF($A159&gt;PARAMETROS!$C$33,"",K158*(1+PARAMETROS!$C$36))</f>
        <v>43649.4182309115</v>
      </c>
      <c r="L159" s="20" t="n">
        <f aca="false">IF($A159&gt;PARAMETROS!$C$33,"",L158*(1+PARAMETROS!$C$37)*(1+M159))</f>
        <v>16454.4742960302</v>
      </c>
      <c r="M159" s="21" t="n">
        <f aca="false">IF($A159&gt;PARAMETROS!$C$33,"",IF(C159&lt;70,PARAMETROS!$C$40,IF(C159&lt;75,PARAMETROS!$C$41,IF(C159&lt;80,PARAMETROS!$C$42,IF(C159&lt;85,PARAMETROS!$C$43,IF(C159&lt;90,PARAMETROS!$C$44,PARAMETROS!$C$45))))))</f>
        <v>0.00165158130192022</v>
      </c>
      <c r="N159" s="20" t="n">
        <f aca="false">IF($A159&gt;PARAMETROS!$C$33,"",K159+L159)</f>
        <v>60103.8925269418</v>
      </c>
      <c r="O159" s="20" t="n">
        <f aca="false">IF($A159&gt;PARAMETROS!$C$33,"",I159+J159-N159)</f>
        <v>-7810.77343156347</v>
      </c>
      <c r="P159" s="20" t="n">
        <f aca="false">IF($A159&gt;PARAMETROS!$C$33,"",MAX(E159+I159+J159-N159,0))</f>
        <v>637292.36893957</v>
      </c>
      <c r="Q159" s="22" t="str">
        <f aca="false">IF($A159&gt;PARAMETROS!$C$33,"",IF(P159&lt;=0,"AGOTADO","OK"))</f>
        <v>OK</v>
      </c>
    </row>
    <row r="160" customFormat="false" ht="15" hidden="false" customHeight="false" outlineLevel="0" collapsed="false">
      <c r="A160" s="19" t="n">
        <f aca="false">A159+1</f>
        <v>158</v>
      </c>
      <c r="B160" s="19" t="n">
        <f aca="false">IF($A160="","",ROUNDUP($A160/12,0))</f>
        <v>14</v>
      </c>
      <c r="C160" s="19" t="n">
        <f aca="false">IF($A160="","",PARAMETROS!$C$6+INT(($A160-1)/12))</f>
        <v>78</v>
      </c>
      <c r="D160" s="19" t="n">
        <f aca="false">IF($A160="","",MOD($A160-1,12)+1)</f>
        <v>2</v>
      </c>
      <c r="E160" s="20" t="n">
        <f aca="false">IF($A160&gt;PARAMETROS!$C$33,"",P159)</f>
        <v>637292.36893957</v>
      </c>
      <c r="F160" s="21" t="n">
        <f aca="false">IF($A160&gt;PARAMETROS!$C$33,"",PARAMETROS!$C$38)</f>
        <v>0.00495440818448101</v>
      </c>
      <c r="G160" s="20" t="n">
        <f aca="false">IF($A160&gt;PARAMETROS!$C$33,"",E160*F160)</f>
        <v>3157.4065285815</v>
      </c>
      <c r="H160" s="20" t="n">
        <f aca="false">IF($A160&gt;PARAMETROS!$C$33,"",E160*PARAMETROS!$C$39)</f>
        <v>476.008916394762</v>
      </c>
      <c r="I160" s="20" t="n">
        <f aca="false">IF($A160&gt;PARAMETROS!$C$33,"",G160-H160)</f>
        <v>2681.39761218673</v>
      </c>
      <c r="J160" s="20" t="n">
        <f aca="false">IF($A160&gt;PARAMETROS!$C$33,"",PARAMETROS!$C$9*(1+PARAMETROS!$C$17)^(B160-1))</f>
        <v>49578.8577769094</v>
      </c>
      <c r="K160" s="20" t="n">
        <f aca="false">IF($A160&gt;PARAMETROS!$C$33,"",K159*(1+PARAMETROS!$C$36))</f>
        <v>43798.9765909732</v>
      </c>
      <c r="L160" s="20" t="n">
        <f aca="false">IF($A160&gt;PARAMETROS!$C$33,"",L159*(1+PARAMETROS!$C$37)*(1+M160))</f>
        <v>16546.6955773495</v>
      </c>
      <c r="M160" s="21" t="n">
        <f aca="false">IF($A160&gt;PARAMETROS!$C$33,"",IF(C160&lt;70,PARAMETROS!$C$40,IF(C160&lt;75,PARAMETROS!$C$41,IF(C160&lt;80,PARAMETROS!$C$42,IF(C160&lt;85,PARAMETROS!$C$43,IF(C160&lt;90,PARAMETROS!$C$44,PARAMETROS!$C$45))))))</f>
        <v>0.00165158130192022</v>
      </c>
      <c r="N160" s="20" t="n">
        <f aca="false">IF($A160&gt;PARAMETROS!$C$33,"",K160+L160)</f>
        <v>60345.6721683227</v>
      </c>
      <c r="O160" s="20" t="n">
        <f aca="false">IF($A160&gt;PARAMETROS!$C$33,"",I160+J160-N160)</f>
        <v>-8085.41677922662</v>
      </c>
      <c r="P160" s="20" t="n">
        <f aca="false">IF($A160&gt;PARAMETROS!$C$33,"",MAX(E160+I160+J160-N160,0))</f>
        <v>629206.952160343</v>
      </c>
      <c r="Q160" s="22" t="str">
        <f aca="false">IF($A160&gt;PARAMETROS!$C$33,"",IF(P160&lt;=0,"AGOTADO","OK"))</f>
        <v>OK</v>
      </c>
    </row>
    <row r="161" customFormat="false" ht="15" hidden="false" customHeight="false" outlineLevel="0" collapsed="false">
      <c r="A161" s="19" t="n">
        <f aca="false">A160+1</f>
        <v>159</v>
      </c>
      <c r="B161" s="19" t="n">
        <f aca="false">IF($A161="","",ROUNDUP($A161/12,0))</f>
        <v>14</v>
      </c>
      <c r="C161" s="19" t="n">
        <f aca="false">IF($A161="","",PARAMETROS!$C$6+INT(($A161-1)/12))</f>
        <v>78</v>
      </c>
      <c r="D161" s="19" t="n">
        <f aca="false">IF($A161="","",MOD($A161-1,12)+1)</f>
        <v>3</v>
      </c>
      <c r="E161" s="20" t="n">
        <f aca="false">IF($A161&gt;PARAMETROS!$C$33,"",P160)</f>
        <v>629206.952160343</v>
      </c>
      <c r="F161" s="21" t="n">
        <f aca="false">IF($A161&gt;PARAMETROS!$C$33,"",PARAMETROS!$C$38)</f>
        <v>0.00495440818448101</v>
      </c>
      <c r="G161" s="20" t="n">
        <f aca="false">IF($A161&gt;PARAMETROS!$C$33,"",E161*F161)</f>
        <v>3117.34807351555</v>
      </c>
      <c r="H161" s="20" t="n">
        <f aca="false">IF($A161&gt;PARAMETROS!$C$33,"",E161*PARAMETROS!$C$39)</f>
        <v>469.96972517381</v>
      </c>
      <c r="I161" s="20" t="n">
        <f aca="false">IF($A161&gt;PARAMETROS!$C$33,"",G161-H161)</f>
        <v>2647.37834834174</v>
      </c>
      <c r="J161" s="20" t="n">
        <f aca="false">IF($A161&gt;PARAMETROS!$C$33,"",PARAMETROS!$C$9*(1+PARAMETROS!$C$17)^(B161-1))</f>
        <v>49578.8577769094</v>
      </c>
      <c r="K161" s="20" t="n">
        <f aca="false">IF($A161&gt;PARAMETROS!$C$33,"",K160*(1+PARAMETROS!$C$36))</f>
        <v>43949.0473909246</v>
      </c>
      <c r="L161" s="20" t="n">
        <f aca="false">IF($A161&gt;PARAMETROS!$C$33,"",L160*(1+PARAMETROS!$C$37)*(1+M161))</f>
        <v>16639.4337250587</v>
      </c>
      <c r="M161" s="21" t="n">
        <f aca="false">IF($A161&gt;PARAMETROS!$C$33,"",IF(C161&lt;70,PARAMETROS!$C$40,IF(C161&lt;75,PARAMETROS!$C$41,IF(C161&lt;80,PARAMETROS!$C$42,IF(C161&lt;85,PARAMETROS!$C$43,IF(C161&lt;90,PARAMETROS!$C$44,PARAMETROS!$C$45))))))</f>
        <v>0.00165158130192022</v>
      </c>
      <c r="N161" s="20" t="n">
        <f aca="false">IF($A161&gt;PARAMETROS!$C$33,"",K161+L161)</f>
        <v>60588.4811159833</v>
      </c>
      <c r="O161" s="20" t="n">
        <f aca="false">IF($A161&gt;PARAMETROS!$C$33,"",I161+J161-N161)</f>
        <v>-8362.24499073222</v>
      </c>
      <c r="P161" s="20" t="n">
        <f aca="false">IF($A161&gt;PARAMETROS!$C$33,"",MAX(E161+I161+J161-N161,0))</f>
        <v>620844.707169611</v>
      </c>
      <c r="Q161" s="22" t="str">
        <f aca="false">IF($A161&gt;PARAMETROS!$C$33,"",IF(P161&lt;=0,"AGOTADO","OK"))</f>
        <v>OK</v>
      </c>
    </row>
    <row r="162" customFormat="false" ht="15" hidden="false" customHeight="false" outlineLevel="0" collapsed="false">
      <c r="A162" s="19" t="n">
        <f aca="false">A161+1</f>
        <v>160</v>
      </c>
      <c r="B162" s="19" t="n">
        <f aca="false">IF($A162="","",ROUNDUP($A162/12,0))</f>
        <v>14</v>
      </c>
      <c r="C162" s="19" t="n">
        <f aca="false">IF($A162="","",PARAMETROS!$C$6+INT(($A162-1)/12))</f>
        <v>78</v>
      </c>
      <c r="D162" s="19" t="n">
        <f aca="false">IF($A162="","",MOD($A162-1,12)+1)</f>
        <v>4</v>
      </c>
      <c r="E162" s="20" t="n">
        <f aca="false">IF($A162&gt;PARAMETROS!$C$33,"",P161)</f>
        <v>620844.707169611</v>
      </c>
      <c r="F162" s="21" t="n">
        <f aca="false">IF($A162&gt;PARAMETROS!$C$33,"",PARAMETROS!$C$38)</f>
        <v>0.00495440818448101</v>
      </c>
      <c r="G162" s="20" t="n">
        <f aca="false">IF($A162&gt;PARAMETROS!$C$33,"",E162*F162)</f>
        <v>3075.91809849284</v>
      </c>
      <c r="H162" s="20" t="n">
        <f aca="false">IF($A162&gt;PARAMETROS!$C$33,"",E162*PARAMETROS!$C$39)</f>
        <v>463.723764339084</v>
      </c>
      <c r="I162" s="20" t="n">
        <f aca="false">IF($A162&gt;PARAMETROS!$C$33,"",G162-H162)</f>
        <v>2612.19433415375</v>
      </c>
      <c r="J162" s="20" t="n">
        <f aca="false">IF($A162&gt;PARAMETROS!$C$33,"",PARAMETROS!$C$9*(1+PARAMETROS!$C$17)^(B162-1))</f>
        <v>49578.8577769094</v>
      </c>
      <c r="K162" s="20" t="n">
        <f aca="false">IF($A162&gt;PARAMETROS!$C$33,"",K161*(1+PARAMETROS!$C$36))</f>
        <v>44099.6323865662</v>
      </c>
      <c r="L162" s="20" t="n">
        <f aca="false">IF($A162&gt;PARAMETROS!$C$33,"",L161*(1+PARAMETROS!$C$37)*(1+M162))</f>
        <v>16732.691636004</v>
      </c>
      <c r="M162" s="21" t="n">
        <f aca="false">IF($A162&gt;PARAMETROS!$C$33,"",IF(C162&lt;70,PARAMETROS!$C$40,IF(C162&lt;75,PARAMETROS!$C$41,IF(C162&lt;80,PARAMETROS!$C$42,IF(C162&lt;85,PARAMETROS!$C$43,IF(C162&lt;90,PARAMETROS!$C$44,PARAMETROS!$C$45))))))</f>
        <v>0.00165158130192022</v>
      </c>
      <c r="N162" s="20" t="n">
        <f aca="false">IF($A162&gt;PARAMETROS!$C$33,"",K162+L162)</f>
        <v>60832.3240225703</v>
      </c>
      <c r="O162" s="20" t="n">
        <f aca="false">IF($A162&gt;PARAMETROS!$C$33,"",I162+J162-N162)</f>
        <v>-8641.27191150715</v>
      </c>
      <c r="P162" s="20" t="n">
        <f aca="false">IF($A162&gt;PARAMETROS!$C$33,"",MAX(E162+I162+J162-N162,0))</f>
        <v>612203.435258104</v>
      </c>
      <c r="Q162" s="22" t="str">
        <f aca="false">IF($A162&gt;PARAMETROS!$C$33,"",IF(P162&lt;=0,"AGOTADO","OK"))</f>
        <v>OK</v>
      </c>
    </row>
    <row r="163" customFormat="false" ht="15" hidden="false" customHeight="false" outlineLevel="0" collapsed="false">
      <c r="A163" s="19" t="n">
        <f aca="false">A162+1</f>
        <v>161</v>
      </c>
      <c r="B163" s="19" t="n">
        <f aca="false">IF($A163="","",ROUNDUP($A163/12,0))</f>
        <v>14</v>
      </c>
      <c r="C163" s="19" t="n">
        <f aca="false">IF($A163="","",PARAMETROS!$C$6+INT(($A163-1)/12))</f>
        <v>78</v>
      </c>
      <c r="D163" s="19" t="n">
        <f aca="false">IF($A163="","",MOD($A163-1,12)+1)</f>
        <v>5</v>
      </c>
      <c r="E163" s="20" t="n">
        <f aca="false">IF($A163&gt;PARAMETROS!$C$33,"",P162)</f>
        <v>612203.435258104</v>
      </c>
      <c r="F163" s="21" t="n">
        <f aca="false">IF($A163&gt;PARAMETROS!$C$33,"",PARAMETROS!$C$38)</f>
        <v>0.00495440818448101</v>
      </c>
      <c r="G163" s="20" t="n">
        <f aca="false">IF($A163&gt;PARAMETROS!$C$33,"",E163*F163)</f>
        <v>3033.10571021014</v>
      </c>
      <c r="H163" s="20" t="n">
        <f aca="false">IF($A163&gt;PARAMETROS!$C$33,"",E163*PARAMETROS!$C$39)</f>
        <v>457.269391622032</v>
      </c>
      <c r="I163" s="20" t="n">
        <f aca="false">IF($A163&gt;PARAMETROS!$C$33,"",G163-H163)</f>
        <v>2575.83631858811</v>
      </c>
      <c r="J163" s="20" t="n">
        <f aca="false">IF($A163&gt;PARAMETROS!$C$33,"",PARAMETROS!$C$9*(1+PARAMETROS!$C$17)^(B163-1))</f>
        <v>49578.8577769094</v>
      </c>
      <c r="K163" s="20" t="n">
        <f aca="false">IF($A163&gt;PARAMETROS!$C$33,"",K162*(1+PARAMETROS!$C$36))</f>
        <v>44250.7333397145</v>
      </c>
      <c r="L163" s="20" t="n">
        <f aca="false">IF($A163&gt;PARAMETROS!$C$33,"",L162*(1+PARAMETROS!$C$37)*(1+M163))</f>
        <v>16826.4722232674</v>
      </c>
      <c r="M163" s="21" t="n">
        <f aca="false">IF($A163&gt;PARAMETROS!$C$33,"",IF(C163&lt;70,PARAMETROS!$C$40,IF(C163&lt;75,PARAMETROS!$C$41,IF(C163&lt;80,PARAMETROS!$C$42,IF(C163&lt;85,PARAMETROS!$C$43,IF(C163&lt;90,PARAMETROS!$C$44,PARAMETROS!$C$45))))))</f>
        <v>0.00165158130192022</v>
      </c>
      <c r="N163" s="20" t="n">
        <f aca="false">IF($A163&gt;PARAMETROS!$C$33,"",K163+L163)</f>
        <v>61077.2055629819</v>
      </c>
      <c r="O163" s="20" t="n">
        <f aca="false">IF($A163&gt;PARAMETROS!$C$33,"",I163+J163-N163)</f>
        <v>-8922.51146748445</v>
      </c>
      <c r="P163" s="20" t="n">
        <f aca="false">IF($A163&gt;PARAMETROS!$C$33,"",MAX(E163+I163+J163-N163,0))</f>
        <v>603280.92379062</v>
      </c>
      <c r="Q163" s="22" t="str">
        <f aca="false">IF($A163&gt;PARAMETROS!$C$33,"",IF(P163&lt;=0,"AGOTADO","OK"))</f>
        <v>OK</v>
      </c>
    </row>
    <row r="164" customFormat="false" ht="15" hidden="false" customHeight="false" outlineLevel="0" collapsed="false">
      <c r="A164" s="19" t="n">
        <f aca="false">A163+1</f>
        <v>162</v>
      </c>
      <c r="B164" s="19" t="n">
        <f aca="false">IF($A164="","",ROUNDUP($A164/12,0))</f>
        <v>14</v>
      </c>
      <c r="C164" s="19" t="n">
        <f aca="false">IF($A164="","",PARAMETROS!$C$6+INT(($A164-1)/12))</f>
        <v>78</v>
      </c>
      <c r="D164" s="19" t="n">
        <f aca="false">IF($A164="","",MOD($A164-1,12)+1)</f>
        <v>6</v>
      </c>
      <c r="E164" s="20" t="n">
        <f aca="false">IF($A164&gt;PARAMETROS!$C$33,"",P163)</f>
        <v>603280.92379062</v>
      </c>
      <c r="F164" s="21" t="n">
        <f aca="false">IF($A164&gt;PARAMETROS!$C$33,"",PARAMETROS!$C$38)</f>
        <v>0.00495440818448101</v>
      </c>
      <c r="G164" s="20" t="n">
        <f aca="false">IF($A164&gt;PARAMETROS!$C$33,"",E164*F164)</f>
        <v>2988.89994636951</v>
      </c>
      <c r="H164" s="20" t="n">
        <f aca="false">IF($A164&gt;PARAMETROS!$C$33,"",E164*PARAMETROS!$C$39)</f>
        <v>450.604954352488</v>
      </c>
      <c r="I164" s="20" t="n">
        <f aca="false">IF($A164&gt;PARAMETROS!$C$33,"",G164-H164)</f>
        <v>2538.29499201702</v>
      </c>
      <c r="J164" s="20" t="n">
        <f aca="false">IF($A164&gt;PARAMETROS!$C$33,"",PARAMETROS!$C$9*(1+PARAMETROS!$C$17)^(B164-1))</f>
        <v>49578.8577769094</v>
      </c>
      <c r="K164" s="20" t="n">
        <f aca="false">IF($A164&gt;PARAMETROS!$C$33,"",K163*(1+PARAMETROS!$C$36))</f>
        <v>44402.3520182225</v>
      </c>
      <c r="L164" s="20" t="n">
        <f aca="false">IF($A164&gt;PARAMETROS!$C$33,"",L163*(1+PARAMETROS!$C$37)*(1+M164))</f>
        <v>16920.7784162576</v>
      </c>
      <c r="M164" s="21" t="n">
        <f aca="false">IF($A164&gt;PARAMETROS!$C$33,"",IF(C164&lt;70,PARAMETROS!$C$40,IF(C164&lt;75,PARAMETROS!$C$41,IF(C164&lt;80,PARAMETROS!$C$42,IF(C164&lt;85,PARAMETROS!$C$43,IF(C164&lt;90,PARAMETROS!$C$44,PARAMETROS!$C$45))))))</f>
        <v>0.00165158130192022</v>
      </c>
      <c r="N164" s="20" t="n">
        <f aca="false">IF($A164&gt;PARAMETROS!$C$33,"",K164+L164)</f>
        <v>61323.1304344801</v>
      </c>
      <c r="O164" s="20" t="n">
        <f aca="false">IF($A164&gt;PARAMETROS!$C$33,"",I164+J164-N164)</f>
        <v>-9205.97766555368</v>
      </c>
      <c r="P164" s="20" t="n">
        <f aca="false">IF($A164&gt;PARAMETROS!$C$33,"",MAX(E164+I164+J164-N164,0))</f>
        <v>594074.946125066</v>
      </c>
      <c r="Q164" s="22" t="str">
        <f aca="false">IF($A164&gt;PARAMETROS!$C$33,"",IF(P164&lt;=0,"AGOTADO","OK"))</f>
        <v>OK</v>
      </c>
    </row>
    <row r="165" customFormat="false" ht="15" hidden="false" customHeight="false" outlineLevel="0" collapsed="false">
      <c r="A165" s="19" t="n">
        <f aca="false">A164+1</f>
        <v>163</v>
      </c>
      <c r="B165" s="19" t="n">
        <f aca="false">IF($A165="","",ROUNDUP($A165/12,0))</f>
        <v>14</v>
      </c>
      <c r="C165" s="19" t="n">
        <f aca="false">IF($A165="","",PARAMETROS!$C$6+INT(($A165-1)/12))</f>
        <v>78</v>
      </c>
      <c r="D165" s="19" t="n">
        <f aca="false">IF($A165="","",MOD($A165-1,12)+1)</f>
        <v>7</v>
      </c>
      <c r="E165" s="20" t="n">
        <f aca="false">IF($A165&gt;PARAMETROS!$C$33,"",P164)</f>
        <v>594074.946125066</v>
      </c>
      <c r="F165" s="21" t="n">
        <f aca="false">IF($A165&gt;PARAMETROS!$C$33,"",PARAMETROS!$C$38)</f>
        <v>0.00495440818448101</v>
      </c>
      <c r="G165" s="20" t="n">
        <f aca="false">IF($A165&gt;PARAMETROS!$C$33,"",E165*F165)</f>
        <v>2943.28977527714</v>
      </c>
      <c r="H165" s="20" t="n">
        <f aca="false">IF($A165&gt;PARAMETROS!$C$33,"",E165*PARAMETROS!$C$39)</f>
        <v>443.728789398204</v>
      </c>
      <c r="I165" s="20" t="n">
        <f aca="false">IF($A165&gt;PARAMETROS!$C$33,"",G165-H165)</f>
        <v>2499.56098587894</v>
      </c>
      <c r="J165" s="20" t="n">
        <f aca="false">IF($A165&gt;PARAMETROS!$C$33,"",PARAMETROS!$C$9*(1+PARAMETROS!$C$17)^(B165-1))</f>
        <v>49578.8577769094</v>
      </c>
      <c r="K165" s="20" t="n">
        <f aca="false">IF($A165&gt;PARAMETROS!$C$33,"",K164*(1+PARAMETROS!$C$36))</f>
        <v>44554.4901960007</v>
      </c>
      <c r="L165" s="20" t="n">
        <f aca="false">IF($A165&gt;PARAMETROS!$C$33,"",L164*(1+PARAMETROS!$C$37)*(1+M165))</f>
        <v>17015.6131608013</v>
      </c>
      <c r="M165" s="21" t="n">
        <f aca="false">IF($A165&gt;PARAMETROS!$C$33,"",IF(C165&lt;70,PARAMETROS!$C$40,IF(C165&lt;75,PARAMETROS!$C$41,IF(C165&lt;80,PARAMETROS!$C$42,IF(C165&lt;85,PARAMETROS!$C$43,IF(C165&lt;90,PARAMETROS!$C$44,PARAMETROS!$C$45))))))</f>
        <v>0.00165158130192022</v>
      </c>
      <c r="N165" s="20" t="n">
        <f aca="false">IF($A165&gt;PARAMETROS!$C$33,"",K165+L165)</f>
        <v>61570.103356802</v>
      </c>
      <c r="O165" s="20" t="n">
        <f aca="false">IF($A165&gt;PARAMETROS!$C$33,"",I165+J165-N165)</f>
        <v>-9491.6845940137</v>
      </c>
      <c r="P165" s="20" t="n">
        <f aca="false">IF($A165&gt;PARAMETROS!$C$33,"",MAX(E165+I165+J165-N165,0))</f>
        <v>584583.261531052</v>
      </c>
      <c r="Q165" s="22" t="str">
        <f aca="false">IF($A165&gt;PARAMETROS!$C$33,"",IF(P165&lt;=0,"AGOTADO","OK"))</f>
        <v>OK</v>
      </c>
    </row>
    <row r="166" customFormat="false" ht="15" hidden="false" customHeight="false" outlineLevel="0" collapsed="false">
      <c r="A166" s="19" t="n">
        <f aca="false">A165+1</f>
        <v>164</v>
      </c>
      <c r="B166" s="19" t="n">
        <f aca="false">IF($A166="","",ROUNDUP($A166/12,0))</f>
        <v>14</v>
      </c>
      <c r="C166" s="19" t="n">
        <f aca="false">IF($A166="","",PARAMETROS!$C$6+INT(($A166-1)/12))</f>
        <v>78</v>
      </c>
      <c r="D166" s="19" t="n">
        <f aca="false">IF($A166="","",MOD($A166-1,12)+1)</f>
        <v>8</v>
      </c>
      <c r="E166" s="20" t="n">
        <f aca="false">IF($A166&gt;PARAMETROS!$C$33,"",P165)</f>
        <v>584583.261531052</v>
      </c>
      <c r="F166" s="21" t="n">
        <f aca="false">IF($A166&gt;PARAMETROS!$C$33,"",PARAMETROS!$C$38)</f>
        <v>0.00495440818448101</v>
      </c>
      <c r="G166" s="20" t="n">
        <f aca="false">IF($A166&gt;PARAMETROS!$C$33,"",E166*F166)</f>
        <v>2896.26409544005</v>
      </c>
      <c r="H166" s="20" t="n">
        <f aca="false">IF($A166&gt;PARAMETROS!$C$33,"",E166*PARAMETROS!$C$39)</f>
        <v>436.639223104048</v>
      </c>
      <c r="I166" s="20" t="n">
        <f aca="false">IF($A166&gt;PARAMETROS!$C$33,"",G166-H166)</f>
        <v>2459.624872336</v>
      </c>
      <c r="J166" s="20" t="n">
        <f aca="false">IF($A166&gt;PARAMETROS!$C$33,"",PARAMETROS!$C$9*(1+PARAMETROS!$C$17)^(B166-1))</f>
        <v>49578.8577769094</v>
      </c>
      <c r="K166" s="20" t="n">
        <f aca="false">IF($A166&gt;PARAMETROS!$C$33,"",K165*(1+PARAMETROS!$C$36))</f>
        <v>44707.1496530373</v>
      </c>
      <c r="L166" s="20" t="n">
        <f aca="false">IF($A166&gt;PARAMETROS!$C$33,"",L165*(1+PARAMETROS!$C$37)*(1+M166))</f>
        <v>17110.979419236</v>
      </c>
      <c r="M166" s="21" t="n">
        <f aca="false">IF($A166&gt;PARAMETROS!$C$33,"",IF(C166&lt;70,PARAMETROS!$C$40,IF(C166&lt;75,PARAMETROS!$C$41,IF(C166&lt;80,PARAMETROS!$C$42,IF(C166&lt;85,PARAMETROS!$C$43,IF(C166&lt;90,PARAMETROS!$C$44,PARAMETROS!$C$45))))))</f>
        <v>0.00165158130192022</v>
      </c>
      <c r="N166" s="20" t="n">
        <f aca="false">IF($A166&gt;PARAMETROS!$C$33,"",K166+L166)</f>
        <v>61818.1290722733</v>
      </c>
      <c r="O166" s="20" t="n">
        <f aca="false">IF($A166&gt;PARAMETROS!$C$33,"",I166+J166-N166)</f>
        <v>-9779.64642302798</v>
      </c>
      <c r="P166" s="20" t="n">
        <f aca="false">IF($A166&gt;PARAMETROS!$C$33,"",MAX(E166+I166+J166-N166,0))</f>
        <v>574803.615108024</v>
      </c>
      <c r="Q166" s="22" t="str">
        <f aca="false">IF($A166&gt;PARAMETROS!$C$33,"",IF(P166&lt;=0,"AGOTADO","OK"))</f>
        <v>OK</v>
      </c>
    </row>
    <row r="167" customFormat="false" ht="15" hidden="false" customHeight="false" outlineLevel="0" collapsed="false">
      <c r="A167" s="19" t="n">
        <f aca="false">A166+1</f>
        <v>165</v>
      </c>
      <c r="B167" s="19" t="n">
        <f aca="false">IF($A167="","",ROUNDUP($A167/12,0))</f>
        <v>14</v>
      </c>
      <c r="C167" s="19" t="n">
        <f aca="false">IF($A167="","",PARAMETROS!$C$6+INT(($A167-1)/12))</f>
        <v>78</v>
      </c>
      <c r="D167" s="19" t="n">
        <f aca="false">IF($A167="","",MOD($A167-1,12)+1)</f>
        <v>9</v>
      </c>
      <c r="E167" s="20" t="n">
        <f aca="false">IF($A167&gt;PARAMETROS!$C$33,"",P166)</f>
        <v>574803.615108024</v>
      </c>
      <c r="F167" s="21" t="n">
        <f aca="false">IF($A167&gt;PARAMETROS!$C$33,"",PARAMETROS!$C$38)</f>
        <v>0.00495440818448101</v>
      </c>
      <c r="G167" s="20" t="n">
        <f aca="false">IF($A167&gt;PARAMETROS!$C$33,"",E167*F167)</f>
        <v>2847.81173516047</v>
      </c>
      <c r="H167" s="20" t="n">
        <f aca="false">IF($A167&gt;PARAMETROS!$C$33,"",E167*PARAMETROS!$C$39)</f>
        <v>429.334571230849</v>
      </c>
      <c r="I167" s="20" t="n">
        <f aca="false">IF($A167&gt;PARAMETROS!$C$33,"",G167-H167)</f>
        <v>2418.47716392962</v>
      </c>
      <c r="J167" s="20" t="n">
        <f aca="false">IF($A167&gt;PARAMETROS!$C$33,"",PARAMETROS!$C$9*(1+PARAMETROS!$C$17)^(B167-1))</f>
        <v>49578.8577769094</v>
      </c>
      <c r="K167" s="20" t="n">
        <f aca="false">IF($A167&gt;PARAMETROS!$C$33,"",K166*(1+PARAMETROS!$C$36))</f>
        <v>44860.3321754199</v>
      </c>
      <c r="L167" s="20" t="n">
        <f aca="false">IF($A167&gt;PARAMETROS!$C$33,"",L166*(1+PARAMETROS!$C$37)*(1+M167))</f>
        <v>17206.8801705016</v>
      </c>
      <c r="M167" s="21" t="n">
        <f aca="false">IF($A167&gt;PARAMETROS!$C$33,"",IF(C167&lt;70,PARAMETROS!$C$40,IF(C167&lt;75,PARAMETROS!$C$41,IF(C167&lt;80,PARAMETROS!$C$42,IF(C167&lt;85,PARAMETROS!$C$43,IF(C167&lt;90,PARAMETROS!$C$44,PARAMETROS!$C$45))))))</f>
        <v>0.00165158130192022</v>
      </c>
      <c r="N167" s="20" t="n">
        <f aca="false">IF($A167&gt;PARAMETROS!$C$33,"",K167+L167)</f>
        <v>62067.2123459214</v>
      </c>
      <c r="O167" s="20" t="n">
        <f aca="false">IF($A167&gt;PARAMETROS!$C$33,"",I167+J167-N167)</f>
        <v>-10069.8774050824</v>
      </c>
      <c r="P167" s="20" t="n">
        <f aca="false">IF($A167&gt;PARAMETROS!$C$33,"",MAX(E167+I167+J167-N167,0))</f>
        <v>564733.737702942</v>
      </c>
      <c r="Q167" s="22" t="str">
        <f aca="false">IF($A167&gt;PARAMETROS!$C$33,"",IF(P167&lt;=0,"AGOTADO","OK"))</f>
        <v>OK</v>
      </c>
    </row>
    <row r="168" customFormat="false" ht="15" hidden="false" customHeight="false" outlineLevel="0" collapsed="false">
      <c r="A168" s="19" t="n">
        <f aca="false">A167+1</f>
        <v>166</v>
      </c>
      <c r="B168" s="19" t="n">
        <f aca="false">IF($A168="","",ROUNDUP($A168/12,0))</f>
        <v>14</v>
      </c>
      <c r="C168" s="19" t="n">
        <f aca="false">IF($A168="","",PARAMETROS!$C$6+INT(($A168-1)/12))</f>
        <v>78</v>
      </c>
      <c r="D168" s="19" t="n">
        <f aca="false">IF($A168="","",MOD($A168-1,12)+1)</f>
        <v>10</v>
      </c>
      <c r="E168" s="20" t="n">
        <f aca="false">IF($A168&gt;PARAMETROS!$C$33,"",P167)</f>
        <v>564733.737702942</v>
      </c>
      <c r="F168" s="21" t="n">
        <f aca="false">IF($A168&gt;PARAMETROS!$C$33,"",PARAMETROS!$C$38)</f>
        <v>0.00495440818448101</v>
      </c>
      <c r="G168" s="20" t="n">
        <f aca="false">IF($A168&gt;PARAMETROS!$C$33,"",E168*F168)</f>
        <v>2797.92145212801</v>
      </c>
      <c r="H168" s="20" t="n">
        <f aca="false">IF($A168&gt;PARAMETROS!$C$33,"",E168*PARAMETROS!$C$39)</f>
        <v>421.813138893918</v>
      </c>
      <c r="I168" s="20" t="n">
        <f aca="false">IF($A168&gt;PARAMETROS!$C$33,"",G168-H168)</f>
        <v>2376.10831323409</v>
      </c>
      <c r="J168" s="20" t="n">
        <f aca="false">IF($A168&gt;PARAMETROS!$C$33,"",PARAMETROS!$C$9*(1+PARAMETROS!$C$17)^(B168-1))</f>
        <v>49578.8577769094</v>
      </c>
      <c r="K168" s="20" t="n">
        <f aca="false">IF($A168&gt;PARAMETROS!$C$33,"",K167*(1+PARAMETROS!$C$36))</f>
        <v>45014.0395553553</v>
      </c>
      <c r="L168" s="20" t="n">
        <f aca="false">IF($A168&gt;PARAMETROS!$C$33,"",L167*(1+PARAMETROS!$C$37)*(1+M168))</f>
        <v>17303.3184102339</v>
      </c>
      <c r="M168" s="21" t="n">
        <f aca="false">IF($A168&gt;PARAMETROS!$C$33,"",IF(C168&lt;70,PARAMETROS!$C$40,IF(C168&lt;75,PARAMETROS!$C$41,IF(C168&lt;80,PARAMETROS!$C$42,IF(C168&lt;85,PARAMETROS!$C$43,IF(C168&lt;90,PARAMETROS!$C$44,PARAMETROS!$C$45))))))</f>
        <v>0.00165158130192022</v>
      </c>
      <c r="N168" s="20" t="n">
        <f aca="false">IF($A168&gt;PARAMETROS!$C$33,"",K168+L168)</f>
        <v>62317.3579655892</v>
      </c>
      <c r="O168" s="20" t="n">
        <f aca="false">IF($A168&gt;PARAMETROS!$C$33,"",I168+J168-N168)</f>
        <v>-10362.3918754457</v>
      </c>
      <c r="P168" s="20" t="n">
        <f aca="false">IF($A168&gt;PARAMETROS!$C$33,"",MAX(E168+I168+J168-N168,0))</f>
        <v>554371.345827496</v>
      </c>
      <c r="Q168" s="22" t="str">
        <f aca="false">IF($A168&gt;PARAMETROS!$C$33,"",IF(P168&lt;=0,"AGOTADO","OK"))</f>
        <v>OK</v>
      </c>
    </row>
    <row r="169" customFormat="false" ht="15" hidden="false" customHeight="false" outlineLevel="0" collapsed="false">
      <c r="A169" s="19" t="n">
        <f aca="false">A168+1</f>
        <v>167</v>
      </c>
      <c r="B169" s="19" t="n">
        <f aca="false">IF($A169="","",ROUNDUP($A169/12,0))</f>
        <v>14</v>
      </c>
      <c r="C169" s="19" t="n">
        <f aca="false">IF($A169="","",PARAMETROS!$C$6+INT(($A169-1)/12))</f>
        <v>78</v>
      </c>
      <c r="D169" s="19" t="n">
        <f aca="false">IF($A169="","",MOD($A169-1,12)+1)</f>
        <v>11</v>
      </c>
      <c r="E169" s="20" t="n">
        <f aca="false">IF($A169&gt;PARAMETROS!$C$33,"",P168)</f>
        <v>554371.345827496</v>
      </c>
      <c r="F169" s="21" t="n">
        <f aca="false">IF($A169&gt;PARAMETROS!$C$33,"",PARAMETROS!$C$38)</f>
        <v>0.00495440818448101</v>
      </c>
      <c r="G169" s="20" t="n">
        <f aca="false">IF($A169&gt;PARAMETROS!$C$33,"",E169*F169)</f>
        <v>2746.5819330095</v>
      </c>
      <c r="H169" s="20" t="n">
        <f aca="false">IF($A169&gt;PARAMETROS!$C$33,"",E169*PARAMETROS!$C$39)</f>
        <v>414.073220501209</v>
      </c>
      <c r="I169" s="20" t="n">
        <f aca="false">IF($A169&gt;PARAMETROS!$C$33,"",G169-H169)</f>
        <v>2332.50871250829</v>
      </c>
      <c r="J169" s="20" t="n">
        <f aca="false">IF($A169&gt;PARAMETROS!$C$33,"",PARAMETROS!$C$9*(1+PARAMETROS!$C$17)^(B169-1))</f>
        <v>49578.8577769094</v>
      </c>
      <c r="K169" s="20" t="n">
        <f aca="false">IF($A169&gt;PARAMETROS!$C$33,"",K168*(1+PARAMETROS!$C$36))</f>
        <v>45168.2735911914</v>
      </c>
      <c r="L169" s="20" t="n">
        <f aca="false">IF($A169&gt;PARAMETROS!$C$33,"",L168*(1+PARAMETROS!$C$37)*(1+M169))</f>
        <v>17400.2971508584</v>
      </c>
      <c r="M169" s="21" t="n">
        <f aca="false">IF($A169&gt;PARAMETROS!$C$33,"",IF(C169&lt;70,PARAMETROS!$C$40,IF(C169&lt;75,PARAMETROS!$C$41,IF(C169&lt;80,PARAMETROS!$C$42,IF(C169&lt;85,PARAMETROS!$C$43,IF(C169&lt;90,PARAMETROS!$C$44,PARAMETROS!$C$45))))))</f>
        <v>0.00165158130192022</v>
      </c>
      <c r="N169" s="20" t="n">
        <f aca="false">IF($A169&gt;PARAMETROS!$C$33,"",K169+L169)</f>
        <v>62568.5707420498</v>
      </c>
      <c r="O169" s="20" t="n">
        <f aca="false">IF($A169&gt;PARAMETROS!$C$33,"",I169+J169-N169)</f>
        <v>-10657.2042526321</v>
      </c>
      <c r="P169" s="20" t="n">
        <f aca="false">IF($A169&gt;PARAMETROS!$C$33,"",MAX(E169+I169+J169-N169,0))</f>
        <v>543714.141574864</v>
      </c>
      <c r="Q169" s="22" t="str">
        <f aca="false">IF($A169&gt;PARAMETROS!$C$33,"",IF(P169&lt;=0,"AGOTADO","OK"))</f>
        <v>OK</v>
      </c>
    </row>
    <row r="170" customFormat="false" ht="15" hidden="false" customHeight="false" outlineLevel="0" collapsed="false">
      <c r="A170" s="19" t="n">
        <f aca="false">A169+1</f>
        <v>168</v>
      </c>
      <c r="B170" s="19" t="n">
        <f aca="false">IF($A170="","",ROUNDUP($A170/12,0))</f>
        <v>14</v>
      </c>
      <c r="C170" s="19" t="n">
        <f aca="false">IF($A170="","",PARAMETROS!$C$6+INT(($A170-1)/12))</f>
        <v>78</v>
      </c>
      <c r="D170" s="19" t="n">
        <f aca="false">IF($A170="","",MOD($A170-1,12)+1)</f>
        <v>12</v>
      </c>
      <c r="E170" s="20" t="n">
        <f aca="false">IF($A170&gt;PARAMETROS!$C$33,"",P169)</f>
        <v>543714.141574864</v>
      </c>
      <c r="F170" s="21" t="n">
        <f aca="false">IF($A170&gt;PARAMETROS!$C$33,"",PARAMETROS!$C$38)</f>
        <v>0.00495440818448101</v>
      </c>
      <c r="G170" s="20" t="n">
        <f aca="false">IF($A170&gt;PARAMETROS!$C$33,"",E170*F170)</f>
        <v>2693.78179303657</v>
      </c>
      <c r="H170" s="20" t="n">
        <f aca="false">IF($A170&gt;PARAMETROS!$C$33,"",E170*PARAMETROS!$C$39)</f>
        <v>406.113099691141</v>
      </c>
      <c r="I170" s="20" t="n">
        <f aca="false">IF($A170&gt;PARAMETROS!$C$33,"",G170-H170)</f>
        <v>2287.66869334543</v>
      </c>
      <c r="J170" s="20" t="n">
        <f aca="false">IF($A170&gt;PARAMETROS!$C$33,"",PARAMETROS!$C$9*(1+PARAMETROS!$C$17)^(B170-1))</f>
        <v>49578.8577769094</v>
      </c>
      <c r="K170" s="20" t="n">
        <f aca="false">IF($A170&gt;PARAMETROS!$C$33,"",K169*(1+PARAMETROS!$C$36))</f>
        <v>45323.0360874377</v>
      </c>
      <c r="L170" s="20" t="n">
        <f aca="false">IF($A170&gt;PARAMETROS!$C$33,"",L169*(1+PARAMETROS!$C$37)*(1+M170))</f>
        <v>17497.8194216838</v>
      </c>
      <c r="M170" s="21" t="n">
        <f aca="false">IF($A170&gt;PARAMETROS!$C$33,"",IF(C170&lt;70,PARAMETROS!$C$40,IF(C170&lt;75,PARAMETROS!$C$41,IF(C170&lt;80,PARAMETROS!$C$42,IF(C170&lt;85,PARAMETROS!$C$43,IF(C170&lt;90,PARAMETROS!$C$44,PARAMETROS!$C$45))))))</f>
        <v>0.00165158130192022</v>
      </c>
      <c r="N170" s="20" t="n">
        <f aca="false">IF($A170&gt;PARAMETROS!$C$33,"",K170+L170)</f>
        <v>62820.8555091215</v>
      </c>
      <c r="O170" s="20" t="n">
        <f aca="false">IF($A170&gt;PARAMETROS!$C$33,"",I170+J170-N170)</f>
        <v>-10954.3290388667</v>
      </c>
      <c r="P170" s="20" t="n">
        <f aca="false">IF($A170&gt;PARAMETROS!$C$33,"",MAX(E170+I170+J170-N170,0))</f>
        <v>532759.812535997</v>
      </c>
      <c r="Q170" s="22" t="str">
        <f aca="false">IF($A170&gt;PARAMETROS!$C$33,"",IF(P170&lt;=0,"AGOTADO","OK"))</f>
        <v>OK</v>
      </c>
    </row>
    <row r="171" customFormat="false" ht="15" hidden="false" customHeight="false" outlineLevel="0" collapsed="false">
      <c r="A171" s="15" t="n">
        <f aca="false">A170+1</f>
        <v>169</v>
      </c>
      <c r="B171" s="15" t="n">
        <f aca="false">IF($A171="","",ROUNDUP($A171/12,0))</f>
        <v>15</v>
      </c>
      <c r="C171" s="15" t="n">
        <f aca="false">IF($A171="","",PARAMETROS!$C$6+INT(($A171-1)/12))</f>
        <v>79</v>
      </c>
      <c r="D171" s="15" t="n">
        <f aca="false">IF($A171="","",MOD($A171-1,12)+1)</f>
        <v>1</v>
      </c>
      <c r="E171" s="16" t="n">
        <f aca="false">IF($A171&gt;PARAMETROS!$C$33,"",P170)</f>
        <v>532759.812535997</v>
      </c>
      <c r="F171" s="17" t="n">
        <f aca="false">IF($A171&gt;PARAMETROS!$C$33,"",PARAMETROS!$C$38)</f>
        <v>0.00495440818448101</v>
      </c>
      <c r="G171" s="16" t="n">
        <f aca="false">IF($A171&gt;PARAMETROS!$C$33,"",E171*F171)</f>
        <v>2639.50957559091</v>
      </c>
      <c r="H171" s="16" t="n">
        <f aca="false">IF($A171&gt;PARAMETROS!$C$33,"",E171*PARAMETROS!$C$39)</f>
        <v>397.931049270078</v>
      </c>
      <c r="I171" s="16" t="n">
        <f aca="false">IF($A171&gt;PARAMETROS!$C$33,"",G171-H171)</f>
        <v>2241.57852632083</v>
      </c>
      <c r="J171" s="16" t="n">
        <f aca="false">IF($A171&gt;PARAMETROS!$C$33,"",PARAMETROS!$C$9*(1+PARAMETROS!$C$17)^(B171-1))</f>
        <v>51532.2647733196</v>
      </c>
      <c r="K171" s="16" t="n">
        <f aca="false">IF($A171&gt;PARAMETROS!$C$33,"",K170*(1+PARAMETROS!$C$36))</f>
        <v>45478.3288547867</v>
      </c>
      <c r="L171" s="16" t="n">
        <f aca="false">IF($A171&gt;PARAMETROS!$C$33,"",L170*(1+PARAMETROS!$C$37)*(1+M171))</f>
        <v>17595.8882689973</v>
      </c>
      <c r="M171" s="17" t="n">
        <f aca="false">IF($A171&gt;PARAMETROS!$C$33,"",IF(C171&lt;70,PARAMETROS!$C$40,IF(C171&lt;75,PARAMETROS!$C$41,IF(C171&lt;80,PARAMETROS!$C$42,IF(C171&lt;85,PARAMETROS!$C$43,IF(C171&lt;90,PARAMETROS!$C$44,PARAMETROS!$C$45))))))</f>
        <v>0.00165158130192022</v>
      </c>
      <c r="N171" s="16" t="n">
        <f aca="false">IF($A171&gt;PARAMETROS!$C$33,"",K171+L171)</f>
        <v>63074.217123784</v>
      </c>
      <c r="O171" s="16" t="n">
        <f aca="false">IF($A171&gt;PARAMETROS!$C$33,"",I171+J171-N171)</f>
        <v>-9300.37382414358</v>
      </c>
      <c r="P171" s="16" t="n">
        <f aca="false">IF($A171&gt;PARAMETROS!$C$33,"",MAX(E171+I171+J171-N171,0))</f>
        <v>523459.438711854</v>
      </c>
      <c r="Q171" s="18" t="str">
        <f aca="false">IF($A171&gt;PARAMETROS!$C$33,"",IF(P171&lt;=0,"AGOTADO","OK"))</f>
        <v>OK</v>
      </c>
    </row>
    <row r="172" customFormat="false" ht="15" hidden="false" customHeight="false" outlineLevel="0" collapsed="false">
      <c r="A172" s="15" t="n">
        <f aca="false">A171+1</f>
        <v>170</v>
      </c>
      <c r="B172" s="15" t="n">
        <f aca="false">IF($A172="","",ROUNDUP($A172/12,0))</f>
        <v>15</v>
      </c>
      <c r="C172" s="15" t="n">
        <f aca="false">IF($A172="","",PARAMETROS!$C$6+INT(($A172-1)/12))</f>
        <v>79</v>
      </c>
      <c r="D172" s="15" t="n">
        <f aca="false">IF($A172="","",MOD($A172-1,12)+1)</f>
        <v>2</v>
      </c>
      <c r="E172" s="16" t="n">
        <f aca="false">IF($A172&gt;PARAMETROS!$C$33,"",P171)</f>
        <v>523459.438711854</v>
      </c>
      <c r="F172" s="17" t="n">
        <f aca="false">IF($A172&gt;PARAMETROS!$C$33,"",PARAMETROS!$C$38)</f>
        <v>0.00495440818448101</v>
      </c>
      <c r="G172" s="16" t="n">
        <f aca="false">IF($A172&gt;PARAMETROS!$C$33,"",E172*F172)</f>
        <v>2593.43172739784</v>
      </c>
      <c r="H172" s="16" t="n">
        <f aca="false">IF($A172&gt;PARAMETROS!$C$33,"",E172*PARAMETROS!$C$39)</f>
        <v>390.984377566691</v>
      </c>
      <c r="I172" s="16" t="n">
        <f aca="false">IF($A172&gt;PARAMETROS!$C$33,"",G172-H172)</f>
        <v>2202.44734983115</v>
      </c>
      <c r="J172" s="16" t="n">
        <f aca="false">IF($A172&gt;PARAMETROS!$C$33,"",PARAMETROS!$C$9*(1+PARAMETROS!$C$17)^(B172-1))</f>
        <v>51532.2647733196</v>
      </c>
      <c r="K172" s="16" t="n">
        <f aca="false">IF($A172&gt;PARAMETROS!$C$33,"",K171*(1+PARAMETROS!$C$36))</f>
        <v>45634.153710135</v>
      </c>
      <c r="L172" s="16" t="n">
        <f aca="false">IF($A172&gt;PARAMETROS!$C$33,"",L171*(1+PARAMETROS!$C$37)*(1+M172))</f>
        <v>17694.5067561591</v>
      </c>
      <c r="M172" s="17" t="n">
        <f aca="false">IF($A172&gt;PARAMETROS!$C$33,"",IF(C172&lt;70,PARAMETROS!$C$40,IF(C172&lt;75,PARAMETROS!$C$41,IF(C172&lt;80,PARAMETROS!$C$42,IF(C172&lt;85,PARAMETROS!$C$43,IF(C172&lt;90,PARAMETROS!$C$44,PARAMETROS!$C$45))))))</f>
        <v>0.00165158130192022</v>
      </c>
      <c r="N172" s="16" t="n">
        <f aca="false">IF($A172&gt;PARAMETROS!$C$33,"",K172+L172)</f>
        <v>63328.6604662941</v>
      </c>
      <c r="O172" s="16" t="n">
        <f aca="false">IF($A172&gt;PARAMETROS!$C$33,"",I172+J172-N172)</f>
        <v>-9593.94834314333</v>
      </c>
      <c r="P172" s="16" t="n">
        <f aca="false">IF($A172&gt;PARAMETROS!$C$33,"",MAX(E172+I172+J172-N172,0))</f>
        <v>513865.49036871</v>
      </c>
      <c r="Q172" s="18" t="str">
        <f aca="false">IF($A172&gt;PARAMETROS!$C$33,"",IF(P172&lt;=0,"AGOTADO","OK"))</f>
        <v>OK</v>
      </c>
    </row>
    <row r="173" customFormat="false" ht="15" hidden="false" customHeight="false" outlineLevel="0" collapsed="false">
      <c r="A173" s="15" t="n">
        <f aca="false">A172+1</f>
        <v>171</v>
      </c>
      <c r="B173" s="15" t="n">
        <f aca="false">IF($A173="","",ROUNDUP($A173/12,0))</f>
        <v>15</v>
      </c>
      <c r="C173" s="15" t="n">
        <f aca="false">IF($A173="","",PARAMETROS!$C$6+INT(($A173-1)/12))</f>
        <v>79</v>
      </c>
      <c r="D173" s="15" t="n">
        <f aca="false">IF($A173="","",MOD($A173-1,12)+1)</f>
        <v>3</v>
      </c>
      <c r="E173" s="16" t="n">
        <f aca="false">IF($A173&gt;PARAMETROS!$C$33,"",P172)</f>
        <v>513865.49036871</v>
      </c>
      <c r="F173" s="17" t="n">
        <f aca="false">IF($A173&gt;PARAMETROS!$C$33,"",PARAMETROS!$C$38)</f>
        <v>0.00495440818448101</v>
      </c>
      <c r="G173" s="16" t="n">
        <f aca="false">IF($A173&gt;PARAMETROS!$C$33,"",E173*F173)</f>
        <v>2545.89939120508</v>
      </c>
      <c r="H173" s="16" t="n">
        <f aca="false">IF($A173&gt;PARAMETROS!$C$33,"",E173*PARAMETROS!$C$39)</f>
        <v>383.818428031839</v>
      </c>
      <c r="I173" s="16" t="n">
        <f aca="false">IF($A173&gt;PARAMETROS!$C$33,"",G173-H173)</f>
        <v>2162.08096317325</v>
      </c>
      <c r="J173" s="16" t="n">
        <f aca="false">IF($A173&gt;PARAMETROS!$C$33,"",PARAMETROS!$C$9*(1+PARAMETROS!$C$17)^(B173-1))</f>
        <v>51532.2647733196</v>
      </c>
      <c r="K173" s="16" t="n">
        <f aca="false">IF($A173&gt;PARAMETROS!$C$33,"",K172*(1+PARAMETROS!$C$36))</f>
        <v>45790.5124766044</v>
      </c>
      <c r="L173" s="16" t="n">
        <f aca="false">IF($A173&gt;PARAMETROS!$C$33,"",L172*(1+PARAMETROS!$C$37)*(1+M173))</f>
        <v>17793.6779636986</v>
      </c>
      <c r="M173" s="17" t="n">
        <f aca="false">IF($A173&gt;PARAMETROS!$C$33,"",IF(C173&lt;70,PARAMETROS!$C$40,IF(C173&lt;75,PARAMETROS!$C$41,IF(C173&lt;80,PARAMETROS!$C$42,IF(C173&lt;85,PARAMETROS!$C$43,IF(C173&lt;90,PARAMETROS!$C$44,PARAMETROS!$C$45))))))</f>
        <v>0.00165158130192022</v>
      </c>
      <c r="N173" s="16" t="n">
        <f aca="false">IF($A173&gt;PARAMETROS!$C$33,"",K173+L173)</f>
        <v>63584.190440303</v>
      </c>
      <c r="O173" s="16" t="n">
        <f aca="false">IF($A173&gt;PARAMETROS!$C$33,"",I173+J173-N173)</f>
        <v>-9889.8447038101</v>
      </c>
      <c r="P173" s="16" t="n">
        <f aca="false">IF($A173&gt;PARAMETROS!$C$33,"",MAX(E173+I173+J173-N173,0))</f>
        <v>503975.6456649</v>
      </c>
      <c r="Q173" s="18" t="str">
        <f aca="false">IF($A173&gt;PARAMETROS!$C$33,"",IF(P173&lt;=0,"AGOTADO","OK"))</f>
        <v>OK</v>
      </c>
    </row>
    <row r="174" customFormat="false" ht="15" hidden="false" customHeight="false" outlineLevel="0" collapsed="false">
      <c r="A174" s="15" t="n">
        <f aca="false">A173+1</f>
        <v>172</v>
      </c>
      <c r="B174" s="15" t="n">
        <f aca="false">IF($A174="","",ROUNDUP($A174/12,0))</f>
        <v>15</v>
      </c>
      <c r="C174" s="15" t="n">
        <f aca="false">IF($A174="","",PARAMETROS!$C$6+INT(($A174-1)/12))</f>
        <v>79</v>
      </c>
      <c r="D174" s="15" t="n">
        <f aca="false">IF($A174="","",MOD($A174-1,12)+1)</f>
        <v>4</v>
      </c>
      <c r="E174" s="16" t="n">
        <f aca="false">IF($A174&gt;PARAMETROS!$C$33,"",P173)</f>
        <v>503975.6456649</v>
      </c>
      <c r="F174" s="17" t="n">
        <f aca="false">IF($A174&gt;PARAMETROS!$C$33,"",PARAMETROS!$C$38)</f>
        <v>0.00495440818448101</v>
      </c>
      <c r="G174" s="16" t="n">
        <f aca="false">IF($A174&gt;PARAMETROS!$C$33,"",E174*F174)</f>
        <v>2496.90106366128</v>
      </c>
      <c r="H174" s="16" t="n">
        <f aca="false">IF($A174&gt;PARAMETROS!$C$33,"",E174*PARAMETROS!$C$39)</f>
        <v>376.431466426436</v>
      </c>
      <c r="I174" s="16" t="n">
        <f aca="false">IF($A174&gt;PARAMETROS!$C$33,"",G174-H174)</f>
        <v>2120.46959723485</v>
      </c>
      <c r="J174" s="16" t="n">
        <f aca="false">IF($A174&gt;PARAMETROS!$C$33,"",PARAMETROS!$C$9*(1+PARAMETROS!$C$17)^(B174-1))</f>
        <v>51532.2647733196</v>
      </c>
      <c r="K174" s="16" t="n">
        <f aca="false">IF($A174&gt;PARAMETROS!$C$33,"",K173*(1+PARAMETROS!$C$36))</f>
        <v>45947.4069835633</v>
      </c>
      <c r="L174" s="16" t="n">
        <f aca="false">IF($A174&gt;PARAMETROS!$C$33,"",L173*(1+PARAMETROS!$C$37)*(1+M174))</f>
        <v>17893.4049894104</v>
      </c>
      <c r="M174" s="17" t="n">
        <f aca="false">IF($A174&gt;PARAMETROS!$C$33,"",IF(C174&lt;70,PARAMETROS!$C$40,IF(C174&lt;75,PARAMETROS!$C$41,IF(C174&lt;80,PARAMETROS!$C$42,IF(C174&lt;85,PARAMETROS!$C$43,IF(C174&lt;90,PARAMETROS!$C$44,PARAMETROS!$C$45))))))</f>
        <v>0.00165158130192022</v>
      </c>
      <c r="N174" s="16" t="n">
        <f aca="false">IF($A174&gt;PARAMETROS!$C$33,"",K174+L174)</f>
        <v>63840.8119729737</v>
      </c>
      <c r="O174" s="16" t="n">
        <f aca="false">IF($A174&gt;PARAMETROS!$C$33,"",I174+J174-N174)</f>
        <v>-10188.0776024193</v>
      </c>
      <c r="P174" s="16" t="n">
        <f aca="false">IF($A174&gt;PARAMETROS!$C$33,"",MAX(E174+I174+J174-N174,0))</f>
        <v>493787.568062481</v>
      </c>
      <c r="Q174" s="18" t="str">
        <f aca="false">IF($A174&gt;PARAMETROS!$C$33,"",IF(P174&lt;=0,"AGOTADO","OK"))</f>
        <v>OK</v>
      </c>
    </row>
    <row r="175" customFormat="false" ht="15" hidden="false" customHeight="false" outlineLevel="0" collapsed="false">
      <c r="A175" s="15" t="n">
        <f aca="false">A174+1</f>
        <v>173</v>
      </c>
      <c r="B175" s="15" t="n">
        <f aca="false">IF($A175="","",ROUNDUP($A175/12,0))</f>
        <v>15</v>
      </c>
      <c r="C175" s="15" t="n">
        <f aca="false">IF($A175="","",PARAMETROS!$C$6+INT(($A175-1)/12))</f>
        <v>79</v>
      </c>
      <c r="D175" s="15" t="n">
        <f aca="false">IF($A175="","",MOD($A175-1,12)+1)</f>
        <v>5</v>
      </c>
      <c r="E175" s="16" t="n">
        <f aca="false">IF($A175&gt;PARAMETROS!$C$33,"",P174)</f>
        <v>493787.568062481</v>
      </c>
      <c r="F175" s="17" t="n">
        <f aca="false">IF($A175&gt;PARAMETROS!$C$33,"",PARAMETROS!$C$38)</f>
        <v>0.00495440818448101</v>
      </c>
      <c r="G175" s="16" t="n">
        <f aca="false">IF($A175&gt;PARAMETROS!$C$33,"",E175*F175)</f>
        <v>2446.42516860373</v>
      </c>
      <c r="H175" s="16" t="n">
        <f aca="false">IF($A175&gt;PARAMETROS!$C$33,"",E175*PARAMETROS!$C$39)</f>
        <v>368.821747534394</v>
      </c>
      <c r="I175" s="16" t="n">
        <f aca="false">IF($A175&gt;PARAMETROS!$C$33,"",G175-H175)</f>
        <v>2077.60342106933</v>
      </c>
      <c r="J175" s="16" t="n">
        <f aca="false">IF($A175&gt;PARAMETROS!$C$33,"",PARAMETROS!$C$9*(1+PARAMETROS!$C$17)^(B175-1))</f>
        <v>51532.2647733196</v>
      </c>
      <c r="K175" s="16" t="n">
        <f aca="false">IF($A175&gt;PARAMETROS!$C$33,"",K174*(1+PARAMETROS!$C$36))</f>
        <v>46104.8390666485</v>
      </c>
      <c r="L175" s="16" t="n">
        <f aca="false">IF($A175&gt;PARAMETROS!$C$33,"",L174*(1+PARAMETROS!$C$37)*(1+M175))</f>
        <v>17993.6909484511</v>
      </c>
      <c r="M175" s="17" t="n">
        <f aca="false">IF($A175&gt;PARAMETROS!$C$33,"",IF(C175&lt;70,PARAMETROS!$C$40,IF(C175&lt;75,PARAMETROS!$C$41,IF(C175&lt;80,PARAMETROS!$C$42,IF(C175&lt;85,PARAMETROS!$C$43,IF(C175&lt;90,PARAMETROS!$C$44,PARAMETROS!$C$45))))))</f>
        <v>0.00165158130192022</v>
      </c>
      <c r="N175" s="16" t="n">
        <f aca="false">IF($A175&gt;PARAMETROS!$C$33,"",K175+L175)</f>
        <v>64098.5300150996</v>
      </c>
      <c r="O175" s="16" t="n">
        <f aca="false">IF($A175&gt;PARAMETROS!$C$33,"",I175+J175-N175)</f>
        <v>-10488.6618207106</v>
      </c>
      <c r="P175" s="16" t="n">
        <f aca="false">IF($A175&gt;PARAMETROS!$C$33,"",MAX(E175+I175+J175-N175,0))</f>
        <v>483298.90624177</v>
      </c>
      <c r="Q175" s="18" t="str">
        <f aca="false">IF($A175&gt;PARAMETROS!$C$33,"",IF(P175&lt;=0,"AGOTADO","OK"))</f>
        <v>OK</v>
      </c>
    </row>
    <row r="176" customFormat="false" ht="15" hidden="false" customHeight="false" outlineLevel="0" collapsed="false">
      <c r="A176" s="15" t="n">
        <f aca="false">A175+1</f>
        <v>174</v>
      </c>
      <c r="B176" s="15" t="n">
        <f aca="false">IF($A176="","",ROUNDUP($A176/12,0))</f>
        <v>15</v>
      </c>
      <c r="C176" s="15" t="n">
        <f aca="false">IF($A176="","",PARAMETROS!$C$6+INT(($A176-1)/12))</f>
        <v>79</v>
      </c>
      <c r="D176" s="15" t="n">
        <f aca="false">IF($A176="","",MOD($A176-1,12)+1)</f>
        <v>6</v>
      </c>
      <c r="E176" s="16" t="n">
        <f aca="false">IF($A176&gt;PARAMETROS!$C$33,"",P175)</f>
        <v>483298.90624177</v>
      </c>
      <c r="F176" s="17" t="n">
        <f aca="false">IF($A176&gt;PARAMETROS!$C$33,"",PARAMETROS!$C$38)</f>
        <v>0.00495440818448101</v>
      </c>
      <c r="G176" s="16" t="n">
        <f aca="false">IF($A176&gt;PARAMETROS!$C$33,"",E176*F176)</f>
        <v>2394.46005663495</v>
      </c>
      <c r="H176" s="16" t="n">
        <f aca="false">IF($A176&gt;PARAMETROS!$C$33,"",E176*PARAMETROS!$C$39)</f>
        <v>360.987515098793</v>
      </c>
      <c r="I176" s="16" t="n">
        <f aca="false">IF($A176&gt;PARAMETROS!$C$33,"",G176-H176)</f>
        <v>2033.47254153615</v>
      </c>
      <c r="J176" s="16" t="n">
        <f aca="false">IF($A176&gt;PARAMETROS!$C$33,"",PARAMETROS!$C$9*(1+PARAMETROS!$C$17)^(B176-1))</f>
        <v>51532.2647733196</v>
      </c>
      <c r="K176" s="16" t="n">
        <f aca="false">IF($A176&gt;PARAMETROS!$C$33,"",K175*(1+PARAMETROS!$C$36))</f>
        <v>46262.810567786</v>
      </c>
      <c r="L176" s="16" t="n">
        <f aca="false">IF($A176&gt;PARAMETROS!$C$33,"",L175*(1+PARAMETROS!$C$37)*(1+M176))</f>
        <v>18094.5389734365</v>
      </c>
      <c r="M176" s="17" t="n">
        <f aca="false">IF($A176&gt;PARAMETROS!$C$33,"",IF(C176&lt;70,PARAMETROS!$C$40,IF(C176&lt;75,PARAMETROS!$C$41,IF(C176&lt;80,PARAMETROS!$C$42,IF(C176&lt;85,PARAMETROS!$C$43,IF(C176&lt;90,PARAMETROS!$C$44,PARAMETROS!$C$45))))))</f>
        <v>0.00165158130192022</v>
      </c>
      <c r="N176" s="16" t="n">
        <f aca="false">IF($A176&gt;PARAMETROS!$C$33,"",K176+L176)</f>
        <v>64357.3495412225</v>
      </c>
      <c r="O176" s="16" t="n">
        <f aca="false">IF($A176&gt;PARAMETROS!$C$33,"",I176+J176-N176)</f>
        <v>-10791.6122263668</v>
      </c>
      <c r="P176" s="16" t="n">
        <f aca="false">IF($A176&gt;PARAMETROS!$C$33,"",MAX(E176+I176+J176-N176,0))</f>
        <v>472507.294015403</v>
      </c>
      <c r="Q176" s="18" t="str">
        <f aca="false">IF($A176&gt;PARAMETROS!$C$33,"",IF(P176&lt;=0,"AGOTADO","OK"))</f>
        <v>OK</v>
      </c>
    </row>
    <row r="177" customFormat="false" ht="15" hidden="false" customHeight="false" outlineLevel="0" collapsed="false">
      <c r="A177" s="15" t="n">
        <f aca="false">A176+1</f>
        <v>175</v>
      </c>
      <c r="B177" s="15" t="n">
        <f aca="false">IF($A177="","",ROUNDUP($A177/12,0))</f>
        <v>15</v>
      </c>
      <c r="C177" s="15" t="n">
        <f aca="false">IF($A177="","",PARAMETROS!$C$6+INT(($A177-1)/12))</f>
        <v>79</v>
      </c>
      <c r="D177" s="15" t="n">
        <f aca="false">IF($A177="","",MOD($A177-1,12)+1)</f>
        <v>7</v>
      </c>
      <c r="E177" s="16" t="n">
        <f aca="false">IF($A177&gt;PARAMETROS!$C$33,"",P176)</f>
        <v>472507.294015403</v>
      </c>
      <c r="F177" s="17" t="n">
        <f aca="false">IF($A177&gt;PARAMETROS!$C$33,"",PARAMETROS!$C$38)</f>
        <v>0.00495440818448101</v>
      </c>
      <c r="G177" s="16" t="n">
        <f aca="false">IF($A177&gt;PARAMETROS!$C$33,"",E177*F177)</f>
        <v>2340.99400469689</v>
      </c>
      <c r="H177" s="16" t="n">
        <f aca="false">IF($A177&gt;PARAMETROS!$C$33,"",E177*PARAMETROS!$C$39)</f>
        <v>352.927001757683</v>
      </c>
      <c r="I177" s="16" t="n">
        <f aca="false">IF($A177&gt;PARAMETROS!$C$33,"",G177-H177)</f>
        <v>1988.06700293921</v>
      </c>
      <c r="J177" s="16" t="n">
        <f aca="false">IF($A177&gt;PARAMETROS!$C$33,"",PARAMETROS!$C$9*(1+PARAMETROS!$C$17)^(B177-1))</f>
        <v>51532.2647733196</v>
      </c>
      <c r="K177" s="16" t="n">
        <f aca="false">IF($A177&gt;PARAMETROS!$C$33,"",K176*(1+PARAMETROS!$C$36))</f>
        <v>46421.3233352131</v>
      </c>
      <c r="L177" s="16" t="n">
        <f aca="false">IF($A177&gt;PARAMETROS!$C$33,"",L176*(1+PARAMETROS!$C$37)*(1+M177))</f>
        <v>18195.9522145398</v>
      </c>
      <c r="M177" s="17" t="n">
        <f aca="false">IF($A177&gt;PARAMETROS!$C$33,"",IF(C177&lt;70,PARAMETROS!$C$40,IF(C177&lt;75,PARAMETROS!$C$41,IF(C177&lt;80,PARAMETROS!$C$42,IF(C177&lt;85,PARAMETROS!$C$43,IF(C177&lt;90,PARAMETROS!$C$44,PARAMETROS!$C$45))))))</f>
        <v>0.00165158130192022</v>
      </c>
      <c r="N177" s="16" t="n">
        <f aca="false">IF($A177&gt;PARAMETROS!$C$33,"",K177+L177)</f>
        <v>64617.2755497529</v>
      </c>
      <c r="O177" s="16" t="n">
        <f aca="false">IF($A177&gt;PARAMETROS!$C$33,"",I177+J177-N177)</f>
        <v>-11096.9437734941</v>
      </c>
      <c r="P177" s="16" t="n">
        <f aca="false">IF($A177&gt;PARAMETROS!$C$33,"",MAX(E177+I177+J177-N177,0))</f>
        <v>461410.350241909</v>
      </c>
      <c r="Q177" s="18" t="str">
        <f aca="false">IF($A177&gt;PARAMETROS!$C$33,"",IF(P177&lt;=0,"AGOTADO","OK"))</f>
        <v>OK</v>
      </c>
    </row>
    <row r="178" customFormat="false" ht="15" hidden="false" customHeight="false" outlineLevel="0" collapsed="false">
      <c r="A178" s="15" t="n">
        <f aca="false">A177+1</f>
        <v>176</v>
      </c>
      <c r="B178" s="15" t="n">
        <f aca="false">IF($A178="","",ROUNDUP($A178/12,0))</f>
        <v>15</v>
      </c>
      <c r="C178" s="15" t="n">
        <f aca="false">IF($A178="","",PARAMETROS!$C$6+INT(($A178-1)/12))</f>
        <v>79</v>
      </c>
      <c r="D178" s="15" t="n">
        <f aca="false">IF($A178="","",MOD($A178-1,12)+1)</f>
        <v>8</v>
      </c>
      <c r="E178" s="16" t="n">
        <f aca="false">IF($A178&gt;PARAMETROS!$C$33,"",P177)</f>
        <v>461410.350241909</v>
      </c>
      <c r="F178" s="17" t="n">
        <f aca="false">IF($A178&gt;PARAMETROS!$C$33,"",PARAMETROS!$C$38)</f>
        <v>0.00495440818448101</v>
      </c>
      <c r="G178" s="16" t="n">
        <f aca="false">IF($A178&gt;PARAMETROS!$C$33,"",E178*F178)</f>
        <v>2286.01521564276</v>
      </c>
      <c r="H178" s="16" t="n">
        <f aca="false">IF($A178&gt;PARAMETROS!$C$33,"",E178*PARAMETROS!$C$39)</f>
        <v>344.638428979534</v>
      </c>
      <c r="I178" s="16" t="n">
        <f aca="false">IF($A178&gt;PARAMETROS!$C$33,"",G178-H178)</f>
        <v>1941.37678666323</v>
      </c>
      <c r="J178" s="16" t="n">
        <f aca="false">IF($A178&gt;PARAMETROS!$C$33,"",PARAMETROS!$C$9*(1+PARAMETROS!$C$17)^(B178-1))</f>
        <v>51532.2647733196</v>
      </c>
      <c r="K178" s="16" t="n">
        <f aca="false">IF($A178&gt;PARAMETROS!$C$33,"",K177*(1+PARAMETROS!$C$36))</f>
        <v>46580.3792234996</v>
      </c>
      <c r="L178" s="16" t="n">
        <f aca="false">IF($A178&gt;PARAMETROS!$C$33,"",L177*(1+PARAMETROS!$C$37)*(1+M178))</f>
        <v>18297.9338395896</v>
      </c>
      <c r="M178" s="17" t="n">
        <f aca="false">IF($A178&gt;PARAMETROS!$C$33,"",IF(C178&lt;70,PARAMETROS!$C$40,IF(C178&lt;75,PARAMETROS!$C$41,IF(C178&lt;80,PARAMETROS!$C$42,IF(C178&lt;85,PARAMETROS!$C$43,IF(C178&lt;90,PARAMETROS!$C$44,PARAMETROS!$C$45))))))</f>
        <v>0.00165158130192022</v>
      </c>
      <c r="N178" s="16" t="n">
        <f aca="false">IF($A178&gt;PARAMETROS!$C$33,"",K178+L178)</f>
        <v>64878.3130630892</v>
      </c>
      <c r="O178" s="16" t="n">
        <f aca="false">IF($A178&gt;PARAMETROS!$C$33,"",I178+J178-N178)</f>
        <v>-11404.6715031064</v>
      </c>
      <c r="P178" s="16" t="n">
        <f aca="false">IF($A178&gt;PARAMETROS!$C$33,"",MAX(E178+I178+J178-N178,0))</f>
        <v>450005.678738803</v>
      </c>
      <c r="Q178" s="18" t="str">
        <f aca="false">IF($A178&gt;PARAMETROS!$C$33,"",IF(P178&lt;=0,"AGOTADO","OK"))</f>
        <v>OK</v>
      </c>
    </row>
    <row r="179" customFormat="false" ht="15" hidden="false" customHeight="false" outlineLevel="0" collapsed="false">
      <c r="A179" s="15" t="n">
        <f aca="false">A178+1</f>
        <v>177</v>
      </c>
      <c r="B179" s="15" t="n">
        <f aca="false">IF($A179="","",ROUNDUP($A179/12,0))</f>
        <v>15</v>
      </c>
      <c r="C179" s="15" t="n">
        <f aca="false">IF($A179="","",PARAMETROS!$C$6+INT(($A179-1)/12))</f>
        <v>79</v>
      </c>
      <c r="D179" s="15" t="n">
        <f aca="false">IF($A179="","",MOD($A179-1,12)+1)</f>
        <v>9</v>
      </c>
      <c r="E179" s="16" t="n">
        <f aca="false">IF($A179&gt;PARAMETROS!$C$33,"",P178)</f>
        <v>450005.678738803</v>
      </c>
      <c r="F179" s="17" t="n">
        <f aca="false">IF($A179&gt;PARAMETROS!$C$33,"",PARAMETROS!$C$38)</f>
        <v>0.00495440818448101</v>
      </c>
      <c r="G179" s="16" t="n">
        <f aca="false">IF($A179&gt;PARAMETROS!$C$33,"",E179*F179)</f>
        <v>2229.51181780646</v>
      </c>
      <c r="H179" s="16" t="n">
        <f aca="false">IF($A179&gt;PARAMETROS!$C$33,"",E179*PARAMETROS!$C$39)</f>
        <v>336.120006998324</v>
      </c>
      <c r="I179" s="16" t="n">
        <f aca="false">IF($A179&gt;PARAMETROS!$C$33,"",G179-H179)</f>
        <v>1893.39181080813</v>
      </c>
      <c r="J179" s="16" t="n">
        <f aca="false">IF($A179&gt;PARAMETROS!$C$33,"",PARAMETROS!$C$9*(1+PARAMETROS!$C$17)^(B179-1))</f>
        <v>51532.2647733196</v>
      </c>
      <c r="K179" s="16" t="n">
        <f aca="false">IF($A179&gt;PARAMETROS!$C$33,"",K178*(1+PARAMETROS!$C$36))</f>
        <v>46739.9800935699</v>
      </c>
      <c r="L179" s="16" t="n">
        <f aca="false">IF($A179&gt;PARAMETROS!$C$33,"",L178*(1+PARAMETROS!$C$37)*(1+M179))</f>
        <v>18400.4870341689</v>
      </c>
      <c r="M179" s="17" t="n">
        <f aca="false">IF($A179&gt;PARAMETROS!$C$33,"",IF(C179&lt;70,PARAMETROS!$C$40,IF(C179&lt;75,PARAMETROS!$C$41,IF(C179&lt;80,PARAMETROS!$C$42,IF(C179&lt;85,PARAMETROS!$C$43,IF(C179&lt;90,PARAMETROS!$C$44,PARAMETROS!$C$45))))))</f>
        <v>0.00165158130192022</v>
      </c>
      <c r="N179" s="16" t="n">
        <f aca="false">IF($A179&gt;PARAMETROS!$C$33,"",K179+L179)</f>
        <v>65140.4671277389</v>
      </c>
      <c r="O179" s="16" t="n">
        <f aca="false">IF($A179&gt;PARAMETROS!$C$33,"",I179+J179-N179)</f>
        <v>-11714.8105436112</v>
      </c>
      <c r="P179" s="16" t="n">
        <f aca="false">IF($A179&gt;PARAMETROS!$C$33,"",MAX(E179+I179+J179-N179,0))</f>
        <v>438290.868195192</v>
      </c>
      <c r="Q179" s="18" t="str">
        <f aca="false">IF($A179&gt;PARAMETROS!$C$33,"",IF(P179&lt;=0,"AGOTADO","OK"))</f>
        <v>OK</v>
      </c>
    </row>
    <row r="180" customFormat="false" ht="15" hidden="false" customHeight="false" outlineLevel="0" collapsed="false">
      <c r="A180" s="15" t="n">
        <f aca="false">A179+1</f>
        <v>178</v>
      </c>
      <c r="B180" s="15" t="n">
        <f aca="false">IF($A180="","",ROUNDUP($A180/12,0))</f>
        <v>15</v>
      </c>
      <c r="C180" s="15" t="n">
        <f aca="false">IF($A180="","",PARAMETROS!$C$6+INT(($A180-1)/12))</f>
        <v>79</v>
      </c>
      <c r="D180" s="15" t="n">
        <f aca="false">IF($A180="","",MOD($A180-1,12)+1)</f>
        <v>10</v>
      </c>
      <c r="E180" s="16" t="n">
        <f aca="false">IF($A180&gt;PARAMETROS!$C$33,"",P179)</f>
        <v>438290.868195192</v>
      </c>
      <c r="F180" s="17" t="n">
        <f aca="false">IF($A180&gt;PARAMETROS!$C$33,"",PARAMETROS!$C$38)</f>
        <v>0.00495440818448101</v>
      </c>
      <c r="G180" s="16" t="n">
        <f aca="false">IF($A180&gt;PARAMETROS!$C$33,"",E180*F180)</f>
        <v>2171.47186456955</v>
      </c>
      <c r="H180" s="16" t="n">
        <f aca="false">IF($A180&gt;PARAMETROS!$C$33,"",E180*PARAMETROS!$C$39)</f>
        <v>327.369934748263</v>
      </c>
      <c r="I180" s="16" t="n">
        <f aca="false">IF($A180&gt;PARAMETROS!$C$33,"",G180-H180)</f>
        <v>1844.10192982128</v>
      </c>
      <c r="J180" s="16" t="n">
        <f aca="false">IF($A180&gt;PARAMETROS!$C$33,"",PARAMETROS!$C$9*(1+PARAMETROS!$C$17)^(B180-1))</f>
        <v>51532.2647733196</v>
      </c>
      <c r="K180" s="16" t="n">
        <f aca="false">IF($A180&gt;PARAMETROS!$C$33,"",K179*(1+PARAMETROS!$C$36))</f>
        <v>46900.1278127246</v>
      </c>
      <c r="L180" s="16" t="n">
        <f aca="false">IF($A180&gt;PARAMETROS!$C$33,"",L179*(1+PARAMETROS!$C$37)*(1+M180))</f>
        <v>18503.6150017151</v>
      </c>
      <c r="M180" s="17" t="n">
        <f aca="false">IF($A180&gt;PARAMETROS!$C$33,"",IF(C180&lt;70,PARAMETROS!$C$40,IF(C180&lt;75,PARAMETROS!$C$41,IF(C180&lt;80,PARAMETROS!$C$42,IF(C180&lt;85,PARAMETROS!$C$43,IF(C180&lt;90,PARAMETROS!$C$44,PARAMETROS!$C$45))))))</f>
        <v>0.00165158130192022</v>
      </c>
      <c r="N180" s="16" t="n">
        <f aca="false">IF($A180&gt;PARAMETROS!$C$33,"",K180+L180)</f>
        <v>65403.7428144397</v>
      </c>
      <c r="O180" s="16" t="n">
        <f aca="false">IF($A180&gt;PARAMETROS!$C$33,"",I180+J180-N180)</f>
        <v>-12027.3761112988</v>
      </c>
      <c r="P180" s="16" t="n">
        <f aca="false">IF($A180&gt;PARAMETROS!$C$33,"",MAX(E180+I180+J180-N180,0))</f>
        <v>426263.492083893</v>
      </c>
      <c r="Q180" s="18" t="str">
        <f aca="false">IF($A180&gt;PARAMETROS!$C$33,"",IF(P180&lt;=0,"AGOTADO","OK"))</f>
        <v>OK</v>
      </c>
    </row>
    <row r="181" customFormat="false" ht="15" hidden="false" customHeight="false" outlineLevel="0" collapsed="false">
      <c r="A181" s="15" t="n">
        <f aca="false">A180+1</f>
        <v>179</v>
      </c>
      <c r="B181" s="15" t="n">
        <f aca="false">IF($A181="","",ROUNDUP($A181/12,0))</f>
        <v>15</v>
      </c>
      <c r="C181" s="15" t="n">
        <f aca="false">IF($A181="","",PARAMETROS!$C$6+INT(($A181-1)/12))</f>
        <v>79</v>
      </c>
      <c r="D181" s="15" t="n">
        <f aca="false">IF($A181="","",MOD($A181-1,12)+1)</f>
        <v>11</v>
      </c>
      <c r="E181" s="16" t="n">
        <f aca="false">IF($A181&gt;PARAMETROS!$C$33,"",P180)</f>
        <v>426263.492083893</v>
      </c>
      <c r="F181" s="17" t="n">
        <f aca="false">IF($A181&gt;PARAMETROS!$C$33,"",PARAMETROS!$C$38)</f>
        <v>0.00495440818448101</v>
      </c>
      <c r="G181" s="16" t="n">
        <f aca="false">IF($A181&gt;PARAMETROS!$C$33,"",E181*F181)</f>
        <v>2111.88333392589</v>
      </c>
      <c r="H181" s="16" t="n">
        <f aca="false">IF($A181&gt;PARAMETROS!$C$33,"",E181*PARAMETROS!$C$39)</f>
        <v>318.386399798145</v>
      </c>
      <c r="I181" s="16" t="n">
        <f aca="false">IF($A181&gt;PARAMETROS!$C$33,"",G181-H181)</f>
        <v>1793.49693412775</v>
      </c>
      <c r="J181" s="16" t="n">
        <f aca="false">IF($A181&gt;PARAMETROS!$C$33,"",PARAMETROS!$C$9*(1+PARAMETROS!$C$17)^(B181-1))</f>
        <v>51532.2647733196</v>
      </c>
      <c r="K181" s="16" t="n">
        <f aca="false">IF($A181&gt;PARAMETROS!$C$33,"",K180*(1+PARAMETROS!$C$36))</f>
        <v>47060.8242546623</v>
      </c>
      <c r="L181" s="16" t="n">
        <f aca="false">IF($A181&gt;PARAMETROS!$C$33,"",L180*(1+PARAMETROS!$C$37)*(1+M181))</f>
        <v>18607.3209636192</v>
      </c>
      <c r="M181" s="17" t="n">
        <f aca="false">IF($A181&gt;PARAMETROS!$C$33,"",IF(C181&lt;70,PARAMETROS!$C$40,IF(C181&lt;75,PARAMETROS!$C$41,IF(C181&lt;80,PARAMETROS!$C$42,IF(C181&lt;85,PARAMETROS!$C$43,IF(C181&lt;90,PARAMETROS!$C$44,PARAMETROS!$C$45))))))</f>
        <v>0.00165158130192022</v>
      </c>
      <c r="N181" s="16" t="n">
        <f aca="false">IF($A181&gt;PARAMETROS!$C$33,"",K181+L181)</f>
        <v>65668.1452182814</v>
      </c>
      <c r="O181" s="16" t="n">
        <f aca="false">IF($A181&gt;PARAMETROS!$C$33,"",I181+J181-N181)</f>
        <v>-12342.3835108341</v>
      </c>
      <c r="P181" s="16" t="n">
        <f aca="false">IF($A181&gt;PARAMETROS!$C$33,"",MAX(E181+I181+J181-N181,0))</f>
        <v>413921.108573059</v>
      </c>
      <c r="Q181" s="18" t="str">
        <f aca="false">IF($A181&gt;PARAMETROS!$C$33,"",IF(P181&lt;=0,"AGOTADO","OK"))</f>
        <v>OK</v>
      </c>
    </row>
    <row r="182" customFormat="false" ht="15" hidden="false" customHeight="false" outlineLevel="0" collapsed="false">
      <c r="A182" s="15" t="n">
        <f aca="false">A181+1</f>
        <v>180</v>
      </c>
      <c r="B182" s="15" t="n">
        <f aca="false">IF($A182="","",ROUNDUP($A182/12,0))</f>
        <v>15</v>
      </c>
      <c r="C182" s="15" t="n">
        <f aca="false">IF($A182="","",PARAMETROS!$C$6+INT(($A182-1)/12))</f>
        <v>79</v>
      </c>
      <c r="D182" s="15" t="n">
        <f aca="false">IF($A182="","",MOD($A182-1,12)+1)</f>
        <v>12</v>
      </c>
      <c r="E182" s="16" t="n">
        <f aca="false">IF($A182&gt;PARAMETROS!$C$33,"",P181)</f>
        <v>413921.108573059</v>
      </c>
      <c r="F182" s="17" t="n">
        <f aca="false">IF($A182&gt;PARAMETROS!$C$33,"",PARAMETROS!$C$38)</f>
        <v>0.00495440818448101</v>
      </c>
      <c r="G182" s="16" t="n">
        <f aca="false">IF($A182&gt;PARAMETROS!$C$33,"",E182*F182)</f>
        <v>2050.73412804381</v>
      </c>
      <c r="H182" s="16" t="n">
        <f aca="false">IF($A182&gt;PARAMETROS!$C$33,"",E182*PARAMETROS!$C$39)</f>
        <v>309.16757828535</v>
      </c>
      <c r="I182" s="16" t="n">
        <f aca="false">IF($A182&gt;PARAMETROS!$C$33,"",G182-H182)</f>
        <v>1741.56654975847</v>
      </c>
      <c r="J182" s="16" t="n">
        <f aca="false">IF($A182&gt;PARAMETROS!$C$33,"",PARAMETROS!$C$9*(1+PARAMETROS!$C$17)^(B182-1))</f>
        <v>51532.2647733196</v>
      </c>
      <c r="K182" s="16" t="n">
        <f aca="false">IF($A182&gt;PARAMETROS!$C$33,"",K181*(1+PARAMETROS!$C$36))</f>
        <v>47222.0712995013</v>
      </c>
      <c r="L182" s="16" t="n">
        <f aca="false">IF($A182&gt;PARAMETROS!$C$33,"",L181*(1+PARAMETROS!$C$37)*(1+M182))</f>
        <v>18711.6081593272</v>
      </c>
      <c r="M182" s="17" t="n">
        <f aca="false">IF($A182&gt;PARAMETROS!$C$33,"",IF(C182&lt;70,PARAMETROS!$C$40,IF(C182&lt;75,PARAMETROS!$C$41,IF(C182&lt;80,PARAMETROS!$C$42,IF(C182&lt;85,PARAMETROS!$C$43,IF(C182&lt;90,PARAMETROS!$C$44,PARAMETROS!$C$45))))))</f>
        <v>0.00165158130192022</v>
      </c>
      <c r="N182" s="16" t="n">
        <f aca="false">IF($A182&gt;PARAMETROS!$C$33,"",K182+L182)</f>
        <v>65933.6794588285</v>
      </c>
      <c r="O182" s="16" t="n">
        <f aca="false">IF($A182&gt;PARAMETROS!$C$33,"",I182+J182-N182)</f>
        <v>-12659.8481357505</v>
      </c>
      <c r="P182" s="16" t="n">
        <f aca="false">IF($A182&gt;PARAMETROS!$C$33,"",MAX(E182+I182+J182-N182,0))</f>
        <v>401261.260437308</v>
      </c>
      <c r="Q182" s="18" t="str">
        <f aca="false">IF($A182&gt;PARAMETROS!$C$33,"",IF(P182&lt;=0,"AGOTADO","OK"))</f>
        <v>OK</v>
      </c>
    </row>
    <row r="183" customFormat="false" ht="15" hidden="false" customHeight="false" outlineLevel="0" collapsed="false">
      <c r="A183" s="19" t="n">
        <f aca="false">A182+1</f>
        <v>181</v>
      </c>
      <c r="B183" s="19" t="n">
        <f aca="false">IF($A183="","",ROUNDUP($A183/12,0))</f>
        <v>16</v>
      </c>
      <c r="C183" s="19" t="n">
        <f aca="false">IF($A183="","",PARAMETROS!$C$6+INT(($A183-1)/12))</f>
        <v>80</v>
      </c>
      <c r="D183" s="19" t="n">
        <f aca="false">IF($A183="","",MOD($A183-1,12)+1)</f>
        <v>1</v>
      </c>
      <c r="E183" s="20" t="n">
        <f aca="false">IF($A183&gt;PARAMETROS!$C$33,"",P182)</f>
        <v>401261.260437308</v>
      </c>
      <c r="F183" s="21" t="n">
        <f aca="false">IF($A183&gt;PARAMETROS!$C$33,"",PARAMETROS!$C$38)</f>
        <v>0.00495440818448101</v>
      </c>
      <c r="G183" s="20" t="n">
        <f aca="false">IF($A183&gt;PARAMETROS!$C$33,"",E183*F183)</f>
        <v>1988.01207282577</v>
      </c>
      <c r="H183" s="20" t="n">
        <f aca="false">IF($A183&gt;PARAMETROS!$C$33,"",E183*PARAMETROS!$C$39)</f>
        <v>299.711634849453</v>
      </c>
      <c r="I183" s="20" t="n">
        <f aca="false">IF($A183&gt;PARAMETROS!$C$33,"",G183-H183)</f>
        <v>1688.30043797631</v>
      </c>
      <c r="J183" s="20" t="n">
        <f aca="false">IF($A183&gt;PARAMETROS!$C$33,"",PARAMETROS!$C$9*(1+PARAMETROS!$C$17)^(B183-1))</f>
        <v>53562.6360053884</v>
      </c>
      <c r="K183" s="20" t="n">
        <f aca="false">IF($A183&gt;PARAMETROS!$C$33,"",K182*(1+PARAMETROS!$C$36))</f>
        <v>47383.8708338023</v>
      </c>
      <c r="L183" s="20" t="n">
        <f aca="false">IF($A183&gt;PARAMETROS!$C$33,"",L182*(1+PARAMETROS!$C$37)*(1+M183))</f>
        <v>18801.0373918385</v>
      </c>
      <c r="M183" s="21" t="n">
        <f aca="false">IF($A183&gt;PARAMETROS!$C$33,"",IF(C183&lt;70,PARAMETROS!$C$40,IF(C183&lt;75,PARAMETROS!$C$41,IF(C183&lt;80,PARAMETROS!$C$42,IF(C183&lt;85,PARAMETROS!$C$43,IF(C183&lt;90,PARAMETROS!$C$44,PARAMETROS!$C$45))))))</f>
        <v>0.000829538114346162</v>
      </c>
      <c r="N183" s="20" t="n">
        <f aca="false">IF($A183&gt;PARAMETROS!$C$33,"",K183+L183)</f>
        <v>66184.9082256408</v>
      </c>
      <c r="O183" s="20" t="n">
        <f aca="false">IF($A183&gt;PARAMETROS!$C$33,"",I183+J183-N183)</f>
        <v>-10933.9717822761</v>
      </c>
      <c r="P183" s="20" t="n">
        <f aca="false">IF($A183&gt;PARAMETROS!$C$33,"",MAX(E183+I183+J183-N183,0))</f>
        <v>390327.288655032</v>
      </c>
      <c r="Q183" s="22" t="str">
        <f aca="false">IF($A183&gt;PARAMETROS!$C$33,"",IF(P183&lt;=0,"AGOTADO","OK"))</f>
        <v>OK</v>
      </c>
    </row>
    <row r="184" customFormat="false" ht="15" hidden="false" customHeight="false" outlineLevel="0" collapsed="false">
      <c r="A184" s="19" t="n">
        <f aca="false">A183+1</f>
        <v>182</v>
      </c>
      <c r="B184" s="19" t="n">
        <f aca="false">IF($A184="","",ROUNDUP($A184/12,0))</f>
        <v>16</v>
      </c>
      <c r="C184" s="19" t="n">
        <f aca="false">IF($A184="","",PARAMETROS!$C$6+INT(($A184-1)/12))</f>
        <v>80</v>
      </c>
      <c r="D184" s="19" t="n">
        <f aca="false">IF($A184="","",MOD($A184-1,12)+1)</f>
        <v>2</v>
      </c>
      <c r="E184" s="20" t="n">
        <f aca="false">IF($A184&gt;PARAMETROS!$C$33,"",P183)</f>
        <v>390327.288655032</v>
      </c>
      <c r="F184" s="21" t="n">
        <f aca="false">IF($A184&gt;PARAMETROS!$C$33,"",PARAMETROS!$C$38)</f>
        <v>0.00495440818448101</v>
      </c>
      <c r="G184" s="20" t="n">
        <f aca="false">IF($A184&gt;PARAMETROS!$C$33,"",E184*F184)</f>
        <v>1933.84071353877</v>
      </c>
      <c r="H184" s="20" t="n">
        <f aca="false">IF($A184&gt;PARAMETROS!$C$33,"",E184*PARAMETROS!$C$39)</f>
        <v>291.544789750347</v>
      </c>
      <c r="I184" s="20" t="n">
        <f aca="false">IF($A184&gt;PARAMETROS!$C$33,"",G184-H184)</f>
        <v>1642.29592378843</v>
      </c>
      <c r="J184" s="20" t="n">
        <f aca="false">IF($A184&gt;PARAMETROS!$C$33,"",PARAMETROS!$C$9*(1+PARAMETROS!$C$17)^(B184-1))</f>
        <v>53562.6360053884</v>
      </c>
      <c r="K184" s="20" t="n">
        <f aca="false">IF($A184&gt;PARAMETROS!$C$33,"",K183*(1+PARAMETROS!$C$36))</f>
        <v>47546.2247505896</v>
      </c>
      <c r="L184" s="20" t="n">
        <f aca="false">IF($A184&gt;PARAMETROS!$C$33,"",L183*(1+PARAMETROS!$C$37)*(1+M184))</f>
        <v>18890.8940375127</v>
      </c>
      <c r="M184" s="21" t="n">
        <f aca="false">IF($A184&gt;PARAMETROS!$C$33,"",IF(C184&lt;70,PARAMETROS!$C$40,IF(C184&lt;75,PARAMETROS!$C$41,IF(C184&lt;80,PARAMETROS!$C$42,IF(C184&lt;85,PARAMETROS!$C$43,IF(C184&lt;90,PARAMETROS!$C$44,PARAMETROS!$C$45))))))</f>
        <v>0.000829538114346162</v>
      </c>
      <c r="N184" s="20" t="n">
        <f aca="false">IF($A184&gt;PARAMETROS!$C$33,"",K184+L184)</f>
        <v>66437.1187881024</v>
      </c>
      <c r="O184" s="20" t="n">
        <f aca="false">IF($A184&gt;PARAMETROS!$C$33,"",I184+J184-N184)</f>
        <v>-11232.1868589255</v>
      </c>
      <c r="P184" s="20" t="n">
        <f aca="false">IF($A184&gt;PARAMETROS!$C$33,"",MAX(E184+I184+J184-N184,0))</f>
        <v>379095.101796107</v>
      </c>
      <c r="Q184" s="22" t="str">
        <f aca="false">IF($A184&gt;PARAMETROS!$C$33,"",IF(P184&lt;=0,"AGOTADO","OK"))</f>
        <v>OK</v>
      </c>
    </row>
    <row r="185" customFormat="false" ht="15" hidden="false" customHeight="false" outlineLevel="0" collapsed="false">
      <c r="A185" s="19" t="n">
        <f aca="false">A184+1</f>
        <v>183</v>
      </c>
      <c r="B185" s="19" t="n">
        <f aca="false">IF($A185="","",ROUNDUP($A185/12,0))</f>
        <v>16</v>
      </c>
      <c r="C185" s="19" t="n">
        <f aca="false">IF($A185="","",PARAMETROS!$C$6+INT(($A185-1)/12))</f>
        <v>80</v>
      </c>
      <c r="D185" s="19" t="n">
        <f aca="false">IF($A185="","",MOD($A185-1,12)+1)</f>
        <v>3</v>
      </c>
      <c r="E185" s="20" t="n">
        <f aca="false">IF($A185&gt;PARAMETROS!$C$33,"",P184)</f>
        <v>379095.101796107</v>
      </c>
      <c r="F185" s="21" t="n">
        <f aca="false">IF($A185&gt;PARAMETROS!$C$33,"",PARAMETROS!$C$38)</f>
        <v>0.00495440818448101</v>
      </c>
      <c r="G185" s="20" t="n">
        <f aca="false">IF($A185&gt;PARAMETROS!$C$33,"",E185*F185)</f>
        <v>1878.19187503529</v>
      </c>
      <c r="H185" s="20" t="n">
        <f aca="false">IF($A185&gt;PARAMETROS!$C$33,"",E185*PARAMETROS!$C$39)</f>
        <v>283.15520067625</v>
      </c>
      <c r="I185" s="20" t="n">
        <f aca="false">IF($A185&gt;PARAMETROS!$C$33,"",G185-H185)</f>
        <v>1595.03667435904</v>
      </c>
      <c r="J185" s="20" t="n">
        <f aca="false">IF($A185&gt;PARAMETROS!$C$33,"",PARAMETROS!$C$9*(1+PARAMETROS!$C$17)^(B185-1))</f>
        <v>53562.6360053884</v>
      </c>
      <c r="K185" s="20" t="n">
        <f aca="false">IF($A185&gt;PARAMETROS!$C$33,"",K184*(1+PARAMETROS!$C$36))</f>
        <v>47709.1349493741</v>
      </c>
      <c r="L185" s="20" t="n">
        <f aca="false">IF($A185&gt;PARAMETROS!$C$33,"",L184*(1+PARAMETROS!$C$37)*(1+M185))</f>
        <v>18981.1801391049</v>
      </c>
      <c r="M185" s="21" t="n">
        <f aca="false">IF($A185&gt;PARAMETROS!$C$33,"",IF(C185&lt;70,PARAMETROS!$C$40,IF(C185&lt;75,PARAMETROS!$C$41,IF(C185&lt;80,PARAMETROS!$C$42,IF(C185&lt;85,PARAMETROS!$C$43,IF(C185&lt;90,PARAMETROS!$C$44,PARAMETROS!$C$45))))))</f>
        <v>0.000829538114346162</v>
      </c>
      <c r="N185" s="20" t="n">
        <f aca="false">IF($A185&gt;PARAMETROS!$C$33,"",K185+L185)</f>
        <v>66690.315088479</v>
      </c>
      <c r="O185" s="20" t="n">
        <f aca="false">IF($A185&gt;PARAMETROS!$C$33,"",I185+J185-N185)</f>
        <v>-11532.6424087316</v>
      </c>
      <c r="P185" s="20" t="n">
        <f aca="false">IF($A185&gt;PARAMETROS!$C$33,"",MAX(E185+I185+J185-N185,0))</f>
        <v>367562.459387375</v>
      </c>
      <c r="Q185" s="22" t="str">
        <f aca="false">IF($A185&gt;PARAMETROS!$C$33,"",IF(P185&lt;=0,"AGOTADO","OK"))</f>
        <v>OK</v>
      </c>
    </row>
    <row r="186" customFormat="false" ht="15" hidden="false" customHeight="false" outlineLevel="0" collapsed="false">
      <c r="A186" s="19" t="n">
        <f aca="false">A185+1</f>
        <v>184</v>
      </c>
      <c r="B186" s="19" t="n">
        <f aca="false">IF($A186="","",ROUNDUP($A186/12,0))</f>
        <v>16</v>
      </c>
      <c r="C186" s="19" t="n">
        <f aca="false">IF($A186="","",PARAMETROS!$C$6+INT(($A186-1)/12))</f>
        <v>80</v>
      </c>
      <c r="D186" s="19" t="n">
        <f aca="false">IF($A186="","",MOD($A186-1,12)+1)</f>
        <v>4</v>
      </c>
      <c r="E186" s="20" t="n">
        <f aca="false">IF($A186&gt;PARAMETROS!$C$33,"",P185)</f>
        <v>367562.459387375</v>
      </c>
      <c r="F186" s="21" t="n">
        <f aca="false">IF($A186&gt;PARAMETROS!$C$33,"",PARAMETROS!$C$38)</f>
        <v>0.00495440818448101</v>
      </c>
      <c r="G186" s="20" t="n">
        <f aca="false">IF($A186&gt;PARAMETROS!$C$33,"",E186*F186)</f>
        <v>1821.05445709678</v>
      </c>
      <c r="H186" s="20" t="n">
        <f aca="false">IF($A186&gt;PARAMETROS!$C$33,"",E186*PARAMETROS!$C$39)</f>
        <v>274.541194164164</v>
      </c>
      <c r="I186" s="20" t="n">
        <f aca="false">IF($A186&gt;PARAMETROS!$C$33,"",G186-H186)</f>
        <v>1546.51326293262</v>
      </c>
      <c r="J186" s="20" t="n">
        <f aca="false">IF($A186&gt;PARAMETROS!$C$33,"",PARAMETROS!$C$9*(1+PARAMETROS!$C$17)^(B186-1))</f>
        <v>53562.6360053884</v>
      </c>
      <c r="K186" s="20" t="n">
        <f aca="false">IF($A186&gt;PARAMETROS!$C$33,"",K185*(1+PARAMETROS!$C$36))</f>
        <v>47872.6033361746</v>
      </c>
      <c r="L186" s="20" t="n">
        <f aca="false">IF($A186&gt;PARAMETROS!$C$33,"",L185*(1+PARAMETROS!$C$37)*(1+M186))</f>
        <v>19071.8977491332</v>
      </c>
      <c r="M186" s="21" t="n">
        <f aca="false">IF($A186&gt;PARAMETROS!$C$33,"",IF(C186&lt;70,PARAMETROS!$C$40,IF(C186&lt;75,PARAMETROS!$C$41,IF(C186&lt;80,PARAMETROS!$C$42,IF(C186&lt;85,PARAMETROS!$C$43,IF(C186&lt;90,PARAMETROS!$C$44,PARAMETROS!$C$45))))))</f>
        <v>0.000829538114346162</v>
      </c>
      <c r="N186" s="20" t="n">
        <f aca="false">IF($A186&gt;PARAMETROS!$C$33,"",K186+L186)</f>
        <v>66944.5010853078</v>
      </c>
      <c r="O186" s="20" t="n">
        <f aca="false">IF($A186&gt;PARAMETROS!$C$33,"",I186+J186-N186)</f>
        <v>-11835.3518169868</v>
      </c>
      <c r="P186" s="20" t="n">
        <f aca="false">IF($A186&gt;PARAMETROS!$C$33,"",MAX(E186+I186+J186-N186,0))</f>
        <v>355727.107570389</v>
      </c>
      <c r="Q186" s="22" t="str">
        <f aca="false">IF($A186&gt;PARAMETROS!$C$33,"",IF(P186&lt;=0,"AGOTADO","OK"))</f>
        <v>OK</v>
      </c>
    </row>
    <row r="187" customFormat="false" ht="15" hidden="false" customHeight="false" outlineLevel="0" collapsed="false">
      <c r="A187" s="19" t="n">
        <f aca="false">A186+1</f>
        <v>185</v>
      </c>
      <c r="B187" s="19" t="n">
        <f aca="false">IF($A187="","",ROUNDUP($A187/12,0))</f>
        <v>16</v>
      </c>
      <c r="C187" s="19" t="n">
        <f aca="false">IF($A187="","",PARAMETROS!$C$6+INT(($A187-1)/12))</f>
        <v>80</v>
      </c>
      <c r="D187" s="19" t="n">
        <f aca="false">IF($A187="","",MOD($A187-1,12)+1)</f>
        <v>5</v>
      </c>
      <c r="E187" s="20" t="n">
        <f aca="false">IF($A187&gt;PARAMETROS!$C$33,"",P186)</f>
        <v>355727.107570389</v>
      </c>
      <c r="F187" s="21" t="n">
        <f aca="false">IF($A187&gt;PARAMETROS!$C$33,"",PARAMETROS!$C$38)</f>
        <v>0.00495440818448101</v>
      </c>
      <c r="G187" s="20" t="n">
        <f aca="false">IF($A187&gt;PARAMETROS!$C$33,"",E187*F187)</f>
        <v>1762.41729318849</v>
      </c>
      <c r="H187" s="20" t="n">
        <f aca="false">IF($A187&gt;PARAMETROS!$C$33,"",E187*PARAMETROS!$C$39)</f>
        <v>265.701086753292</v>
      </c>
      <c r="I187" s="20" t="n">
        <f aca="false">IF($A187&gt;PARAMETROS!$C$33,"",G187-H187)</f>
        <v>1496.7162064352</v>
      </c>
      <c r="J187" s="20" t="n">
        <f aca="false">IF($A187&gt;PARAMETROS!$C$33,"",PARAMETROS!$C$9*(1+PARAMETROS!$C$17)^(B187-1))</f>
        <v>53562.6360053884</v>
      </c>
      <c r="K187" s="20" t="n">
        <f aca="false">IF($A187&gt;PARAMETROS!$C$33,"",K186*(1+PARAMETROS!$C$36))</f>
        <v>48036.6318235411</v>
      </c>
      <c r="L187" s="20" t="n">
        <f aca="false">IF($A187&gt;PARAMETROS!$C$33,"",L186*(1+PARAMETROS!$C$37)*(1+M187))</f>
        <v>19163.0489299251</v>
      </c>
      <c r="M187" s="21" t="n">
        <f aca="false">IF($A187&gt;PARAMETROS!$C$33,"",IF(C187&lt;70,PARAMETROS!$C$40,IF(C187&lt;75,PARAMETROS!$C$41,IF(C187&lt;80,PARAMETROS!$C$42,IF(C187&lt;85,PARAMETROS!$C$43,IF(C187&lt;90,PARAMETROS!$C$44,PARAMETROS!$C$45))))))</f>
        <v>0.000829538114346162</v>
      </c>
      <c r="N187" s="20" t="n">
        <f aca="false">IF($A187&gt;PARAMETROS!$C$33,"",K187+L187)</f>
        <v>67199.6807534662</v>
      </c>
      <c r="O187" s="20" t="n">
        <f aca="false">IF($A187&gt;PARAMETROS!$C$33,"",I187+J187-N187)</f>
        <v>-12140.3285416426</v>
      </c>
      <c r="P187" s="20" t="n">
        <f aca="false">IF($A187&gt;PARAMETROS!$C$33,"",MAX(E187+I187+J187-N187,0))</f>
        <v>343586.779028746</v>
      </c>
      <c r="Q187" s="22" t="str">
        <f aca="false">IF($A187&gt;PARAMETROS!$C$33,"",IF(P187&lt;=0,"AGOTADO","OK"))</f>
        <v>OK</v>
      </c>
    </row>
    <row r="188" customFormat="false" ht="15" hidden="false" customHeight="false" outlineLevel="0" collapsed="false">
      <c r="A188" s="19" t="n">
        <f aca="false">A187+1</f>
        <v>186</v>
      </c>
      <c r="B188" s="19" t="n">
        <f aca="false">IF($A188="","",ROUNDUP($A188/12,0))</f>
        <v>16</v>
      </c>
      <c r="C188" s="19" t="n">
        <f aca="false">IF($A188="","",PARAMETROS!$C$6+INT(($A188-1)/12))</f>
        <v>80</v>
      </c>
      <c r="D188" s="19" t="n">
        <f aca="false">IF($A188="","",MOD($A188-1,12)+1)</f>
        <v>6</v>
      </c>
      <c r="E188" s="20" t="n">
        <f aca="false">IF($A188&gt;PARAMETROS!$C$33,"",P187)</f>
        <v>343586.779028746</v>
      </c>
      <c r="F188" s="21" t="n">
        <f aca="false">IF($A188&gt;PARAMETROS!$C$33,"",PARAMETROS!$C$38)</f>
        <v>0.00495440818448101</v>
      </c>
      <c r="G188" s="20" t="n">
        <f aca="false">IF($A188&gt;PARAMETROS!$C$33,"",E188*F188)</f>
        <v>1702.26915009949</v>
      </c>
      <c r="H188" s="20" t="n">
        <f aca="false">IF($A188&gt;PARAMETROS!$C$33,"",E188*PARAMETROS!$C$39)</f>
        <v>256.633184930774</v>
      </c>
      <c r="I188" s="20" t="n">
        <f aca="false">IF($A188&gt;PARAMETROS!$C$33,"",G188-H188)</f>
        <v>1445.63596516871</v>
      </c>
      <c r="J188" s="20" t="n">
        <f aca="false">IF($A188&gt;PARAMETROS!$C$33,"",PARAMETROS!$C$9*(1+PARAMETROS!$C$17)^(B188-1))</f>
        <v>53562.6360053884</v>
      </c>
      <c r="K188" s="20" t="n">
        <f aca="false">IF($A188&gt;PARAMETROS!$C$33,"",K187*(1+PARAMETROS!$C$36))</f>
        <v>48201.2223305762</v>
      </c>
      <c r="L188" s="20" t="n">
        <f aca="false">IF($A188&gt;PARAMETROS!$C$33,"",L187*(1+PARAMETROS!$C$37)*(1+M188))</f>
        <v>19254.635753665</v>
      </c>
      <c r="M188" s="21" t="n">
        <f aca="false">IF($A188&gt;PARAMETROS!$C$33,"",IF(C188&lt;70,PARAMETROS!$C$40,IF(C188&lt;75,PARAMETROS!$C$41,IF(C188&lt;80,PARAMETROS!$C$42,IF(C188&lt;85,PARAMETROS!$C$43,IF(C188&lt;90,PARAMETROS!$C$44,PARAMETROS!$C$45))))))</f>
        <v>0.000829538114346162</v>
      </c>
      <c r="N188" s="20" t="n">
        <f aca="false">IF($A188&gt;PARAMETROS!$C$33,"",K188+L188)</f>
        <v>67455.8580842413</v>
      </c>
      <c r="O188" s="20" t="n">
        <f aca="false">IF($A188&gt;PARAMETROS!$C$33,"",I188+J188-N188)</f>
        <v>-12447.5861136841</v>
      </c>
      <c r="P188" s="20" t="n">
        <f aca="false">IF($A188&gt;PARAMETROS!$C$33,"",MAX(E188+I188+J188-N188,0))</f>
        <v>331139.192915062</v>
      </c>
      <c r="Q188" s="22" t="str">
        <f aca="false">IF($A188&gt;PARAMETROS!$C$33,"",IF(P188&lt;=0,"AGOTADO","OK"))</f>
        <v>OK</v>
      </c>
    </row>
    <row r="189" customFormat="false" ht="15" hidden="false" customHeight="false" outlineLevel="0" collapsed="false">
      <c r="A189" s="19" t="n">
        <f aca="false">A188+1</f>
        <v>187</v>
      </c>
      <c r="B189" s="19" t="n">
        <f aca="false">IF($A189="","",ROUNDUP($A189/12,0))</f>
        <v>16</v>
      </c>
      <c r="C189" s="19" t="n">
        <f aca="false">IF($A189="","",PARAMETROS!$C$6+INT(($A189-1)/12))</f>
        <v>80</v>
      </c>
      <c r="D189" s="19" t="n">
        <f aca="false">IF($A189="","",MOD($A189-1,12)+1)</f>
        <v>7</v>
      </c>
      <c r="E189" s="20" t="n">
        <f aca="false">IF($A189&gt;PARAMETROS!$C$33,"",P188)</f>
        <v>331139.192915062</v>
      </c>
      <c r="F189" s="21" t="n">
        <f aca="false">IF($A189&gt;PARAMETROS!$C$33,"",PARAMETROS!$C$38)</f>
        <v>0.00495440818448101</v>
      </c>
      <c r="G189" s="20" t="n">
        <f aca="false">IF($A189&gt;PARAMETROS!$C$33,"",E189*F189)</f>
        <v>1640.59872758082</v>
      </c>
      <c r="H189" s="20" t="n">
        <f aca="false">IF($A189&gt;PARAMETROS!$C$33,"",E189*PARAMETROS!$C$39)</f>
        <v>247.335785077133</v>
      </c>
      <c r="I189" s="20" t="n">
        <f aca="false">IF($A189&gt;PARAMETROS!$C$33,"",G189-H189)</f>
        <v>1393.26294250368</v>
      </c>
      <c r="J189" s="20" t="n">
        <f aca="false">IF($A189&gt;PARAMETROS!$C$33,"",PARAMETROS!$C$9*(1+PARAMETROS!$C$17)^(B189-1))</f>
        <v>53562.6360053884</v>
      </c>
      <c r="K189" s="20" t="n">
        <f aca="false">IF($A189&gt;PARAMETROS!$C$33,"",K188*(1+PARAMETROS!$C$36))</f>
        <v>48366.3767829585</v>
      </c>
      <c r="L189" s="20" t="n">
        <f aca="false">IF($A189&gt;PARAMETROS!$C$33,"",L188*(1+PARAMETROS!$C$37)*(1+M189))</f>
        <v>19346.660302441</v>
      </c>
      <c r="M189" s="21" t="n">
        <f aca="false">IF($A189&gt;PARAMETROS!$C$33,"",IF(C189&lt;70,PARAMETROS!$C$40,IF(C189&lt;75,PARAMETROS!$C$41,IF(C189&lt;80,PARAMETROS!$C$42,IF(C189&lt;85,PARAMETROS!$C$43,IF(C189&lt;90,PARAMETROS!$C$44,PARAMETROS!$C$45))))))</f>
        <v>0.000829538114346162</v>
      </c>
      <c r="N189" s="20" t="n">
        <f aca="false">IF($A189&gt;PARAMETROS!$C$33,"",K189+L189)</f>
        <v>67713.0370853994</v>
      </c>
      <c r="O189" s="20" t="n">
        <f aca="false">IF($A189&gt;PARAMETROS!$C$33,"",I189+J189-N189)</f>
        <v>-12757.1381375074</v>
      </c>
      <c r="P189" s="20" t="n">
        <f aca="false">IF($A189&gt;PARAMETROS!$C$33,"",MAX(E189+I189+J189-N189,0))</f>
        <v>318382.054777554</v>
      </c>
      <c r="Q189" s="22" t="str">
        <f aca="false">IF($A189&gt;PARAMETROS!$C$33,"",IF(P189&lt;=0,"AGOTADO","OK"))</f>
        <v>OK</v>
      </c>
    </row>
    <row r="190" customFormat="false" ht="15" hidden="false" customHeight="false" outlineLevel="0" collapsed="false">
      <c r="A190" s="19" t="n">
        <f aca="false">A189+1</f>
        <v>188</v>
      </c>
      <c r="B190" s="19" t="n">
        <f aca="false">IF($A190="","",ROUNDUP($A190/12,0))</f>
        <v>16</v>
      </c>
      <c r="C190" s="19" t="n">
        <f aca="false">IF($A190="","",PARAMETROS!$C$6+INT(($A190-1)/12))</f>
        <v>80</v>
      </c>
      <c r="D190" s="19" t="n">
        <f aca="false">IF($A190="","",MOD($A190-1,12)+1)</f>
        <v>8</v>
      </c>
      <c r="E190" s="20" t="n">
        <f aca="false">IF($A190&gt;PARAMETROS!$C$33,"",P189)</f>
        <v>318382.054777554</v>
      </c>
      <c r="F190" s="21" t="n">
        <f aca="false">IF($A190&gt;PARAMETROS!$C$33,"",PARAMETROS!$C$38)</f>
        <v>0.00495440818448101</v>
      </c>
      <c r="G190" s="20" t="n">
        <f aca="false">IF($A190&gt;PARAMETROS!$C$33,"",E190*F190)</f>
        <v>1577.3946579818</v>
      </c>
      <c r="H190" s="20" t="n">
        <f aca="false">IF($A190&gt;PARAMETROS!$C$33,"",E190*PARAMETROS!$C$39)</f>
        <v>237.807173411443</v>
      </c>
      <c r="I190" s="20" t="n">
        <f aca="false">IF($A190&gt;PARAMETROS!$C$33,"",G190-H190)</f>
        <v>1339.58748457035</v>
      </c>
      <c r="J190" s="20" t="n">
        <f aca="false">IF($A190&gt;PARAMETROS!$C$33,"",PARAMETROS!$C$9*(1+PARAMETROS!$C$17)^(B190-1))</f>
        <v>53562.6360053884</v>
      </c>
      <c r="K190" s="20" t="n">
        <f aca="false">IF($A190&gt;PARAMETROS!$C$33,"",K189*(1+PARAMETROS!$C$36))</f>
        <v>48532.0971129642</v>
      </c>
      <c r="L190" s="20" t="n">
        <f aca="false">IF($A190&gt;PARAMETROS!$C$33,"",L189*(1+PARAMETROS!$C$37)*(1+M190))</f>
        <v>19439.1246682919</v>
      </c>
      <c r="M190" s="21" t="n">
        <f aca="false">IF($A190&gt;PARAMETROS!$C$33,"",IF(C190&lt;70,PARAMETROS!$C$40,IF(C190&lt;75,PARAMETROS!$C$41,IF(C190&lt;80,PARAMETROS!$C$42,IF(C190&lt;85,PARAMETROS!$C$43,IF(C190&lt;90,PARAMETROS!$C$44,PARAMETROS!$C$45))))))</f>
        <v>0.000829538114346162</v>
      </c>
      <c r="N190" s="20" t="n">
        <f aca="false">IF($A190&gt;PARAMETROS!$C$33,"",K190+L190)</f>
        <v>67971.2217812561</v>
      </c>
      <c r="O190" s="20" t="n">
        <f aca="false">IF($A190&gt;PARAMETROS!$C$33,"",I190+J190-N190)</f>
        <v>-13068.9982912974</v>
      </c>
      <c r="P190" s="20" t="n">
        <f aca="false">IF($A190&gt;PARAMETROS!$C$33,"",MAX(E190+I190+J190-N190,0))</f>
        <v>305313.056486257</v>
      </c>
      <c r="Q190" s="22" t="str">
        <f aca="false">IF($A190&gt;PARAMETROS!$C$33,"",IF(P190&lt;=0,"AGOTADO","OK"))</f>
        <v>OK</v>
      </c>
    </row>
    <row r="191" customFormat="false" ht="15" hidden="false" customHeight="false" outlineLevel="0" collapsed="false">
      <c r="A191" s="19" t="n">
        <f aca="false">A190+1</f>
        <v>189</v>
      </c>
      <c r="B191" s="19" t="n">
        <f aca="false">IF($A191="","",ROUNDUP($A191/12,0))</f>
        <v>16</v>
      </c>
      <c r="C191" s="19" t="n">
        <f aca="false">IF($A191="","",PARAMETROS!$C$6+INT(($A191-1)/12))</f>
        <v>80</v>
      </c>
      <c r="D191" s="19" t="n">
        <f aca="false">IF($A191="","",MOD($A191-1,12)+1)</f>
        <v>9</v>
      </c>
      <c r="E191" s="20" t="n">
        <f aca="false">IF($A191&gt;PARAMETROS!$C$33,"",P190)</f>
        <v>305313.056486257</v>
      </c>
      <c r="F191" s="21" t="n">
        <f aca="false">IF($A191&gt;PARAMETROS!$C$33,"",PARAMETROS!$C$38)</f>
        <v>0.00495440818448101</v>
      </c>
      <c r="G191" s="20" t="n">
        <f aca="false">IF($A191&gt;PARAMETROS!$C$33,"",E191*F191)</f>
        <v>1512.64550588442</v>
      </c>
      <c r="H191" s="20" t="n">
        <f aca="false">IF($A191&gt;PARAMETROS!$C$33,"",E191*PARAMETROS!$C$39)</f>
        <v>228.045625936213</v>
      </c>
      <c r="I191" s="20" t="n">
        <f aca="false">IF($A191&gt;PARAMETROS!$C$33,"",G191-H191)</f>
        <v>1284.59987994821</v>
      </c>
      <c r="J191" s="20" t="n">
        <f aca="false">IF($A191&gt;PARAMETROS!$C$33,"",PARAMETROS!$C$9*(1+PARAMETROS!$C$17)^(B191-1))</f>
        <v>53562.6360053884</v>
      </c>
      <c r="K191" s="20" t="n">
        <f aca="false">IF($A191&gt;PARAMETROS!$C$33,"",K190*(1+PARAMETROS!$C$36))</f>
        <v>48698.3852594905</v>
      </c>
      <c r="L191" s="20" t="n">
        <f aca="false">IF($A191&gt;PARAMETROS!$C$33,"",L190*(1+PARAMETROS!$C$37)*(1+M191))</f>
        <v>19532.0309532554</v>
      </c>
      <c r="M191" s="21" t="n">
        <f aca="false">IF($A191&gt;PARAMETROS!$C$33,"",IF(C191&lt;70,PARAMETROS!$C$40,IF(C191&lt;75,PARAMETROS!$C$41,IF(C191&lt;80,PARAMETROS!$C$42,IF(C191&lt;85,PARAMETROS!$C$43,IF(C191&lt;90,PARAMETROS!$C$44,PARAMETROS!$C$45))))))</f>
        <v>0.000829538114346162</v>
      </c>
      <c r="N191" s="20" t="n">
        <f aca="false">IF($A191&gt;PARAMETROS!$C$33,"",K191+L191)</f>
        <v>68230.416212746</v>
      </c>
      <c r="O191" s="20" t="n">
        <f aca="false">IF($A191&gt;PARAMETROS!$C$33,"",I191+J191-N191)</f>
        <v>-13383.1803274093</v>
      </c>
      <c r="P191" s="20" t="n">
        <f aca="false">IF($A191&gt;PARAMETROS!$C$33,"",MAX(E191+I191+J191-N191,0))</f>
        <v>291929.876158848</v>
      </c>
      <c r="Q191" s="22" t="str">
        <f aca="false">IF($A191&gt;PARAMETROS!$C$33,"",IF(P191&lt;=0,"AGOTADO","OK"))</f>
        <v>OK</v>
      </c>
    </row>
    <row r="192" customFormat="false" ht="15" hidden="false" customHeight="false" outlineLevel="0" collapsed="false">
      <c r="A192" s="19" t="n">
        <f aca="false">A191+1</f>
        <v>190</v>
      </c>
      <c r="B192" s="19" t="n">
        <f aca="false">IF($A192="","",ROUNDUP($A192/12,0))</f>
        <v>16</v>
      </c>
      <c r="C192" s="19" t="n">
        <f aca="false">IF($A192="","",PARAMETROS!$C$6+INT(($A192-1)/12))</f>
        <v>80</v>
      </c>
      <c r="D192" s="19" t="n">
        <f aca="false">IF($A192="","",MOD($A192-1,12)+1)</f>
        <v>10</v>
      </c>
      <c r="E192" s="20" t="n">
        <f aca="false">IF($A192&gt;PARAMETROS!$C$33,"",P191)</f>
        <v>291929.876158848</v>
      </c>
      <c r="F192" s="21" t="n">
        <f aca="false">IF($A192&gt;PARAMETROS!$C$33,"",PARAMETROS!$C$38)</f>
        <v>0.00495440818448101</v>
      </c>
      <c r="G192" s="20" t="n">
        <f aca="false">IF($A192&gt;PARAMETROS!$C$33,"",E192*F192)</f>
        <v>1446.33976773592</v>
      </c>
      <c r="H192" s="20" t="n">
        <f aca="false">IF($A192&gt;PARAMETROS!$C$33,"",E192*PARAMETROS!$C$39)</f>
        <v>218.04940838199</v>
      </c>
      <c r="I192" s="20" t="n">
        <f aca="false">IF($A192&gt;PARAMETROS!$C$33,"",G192-H192)</f>
        <v>1228.29035935393</v>
      </c>
      <c r="J192" s="20" t="n">
        <f aca="false">IF($A192&gt;PARAMETROS!$C$33,"",PARAMETROS!$C$9*(1+PARAMETROS!$C$17)^(B192-1))</f>
        <v>53562.6360053884</v>
      </c>
      <c r="K192" s="20" t="n">
        <f aca="false">IF($A192&gt;PARAMETROS!$C$33,"",K191*(1+PARAMETROS!$C$36))</f>
        <v>48865.2431680778</v>
      </c>
      <c r="L192" s="20" t="n">
        <f aca="false">IF($A192&gt;PARAMETROS!$C$33,"",L191*(1+PARAMETROS!$C$37)*(1+M192))</f>
        <v>19625.3812694155</v>
      </c>
      <c r="M192" s="21" t="n">
        <f aca="false">IF($A192&gt;PARAMETROS!$C$33,"",IF(C192&lt;70,PARAMETROS!$C$40,IF(C192&lt;75,PARAMETROS!$C$41,IF(C192&lt;80,PARAMETROS!$C$42,IF(C192&lt;85,PARAMETROS!$C$43,IF(C192&lt;90,PARAMETROS!$C$44,PARAMETROS!$C$45))))))</f>
        <v>0.000829538114346162</v>
      </c>
      <c r="N192" s="20" t="n">
        <f aca="false">IF($A192&gt;PARAMETROS!$C$33,"",K192+L192)</f>
        <v>68490.6244374933</v>
      </c>
      <c r="O192" s="20" t="n">
        <f aca="false">IF($A192&gt;PARAMETROS!$C$33,"",I192+J192-N192)</f>
        <v>-13699.698072751</v>
      </c>
      <c r="P192" s="20" t="n">
        <f aca="false">IF($A192&gt;PARAMETROS!$C$33,"",MAX(E192+I192+J192-N192,0))</f>
        <v>278230.178086097</v>
      </c>
      <c r="Q192" s="22" t="str">
        <f aca="false">IF($A192&gt;PARAMETROS!$C$33,"",IF(P192&lt;=0,"AGOTADO","OK"))</f>
        <v>OK</v>
      </c>
    </row>
    <row r="193" customFormat="false" ht="15" hidden="false" customHeight="false" outlineLevel="0" collapsed="false">
      <c r="A193" s="19" t="n">
        <f aca="false">A192+1</f>
        <v>191</v>
      </c>
      <c r="B193" s="19" t="n">
        <f aca="false">IF($A193="","",ROUNDUP($A193/12,0))</f>
        <v>16</v>
      </c>
      <c r="C193" s="19" t="n">
        <f aca="false">IF($A193="","",PARAMETROS!$C$6+INT(($A193-1)/12))</f>
        <v>80</v>
      </c>
      <c r="D193" s="19" t="n">
        <f aca="false">IF($A193="","",MOD($A193-1,12)+1)</f>
        <v>11</v>
      </c>
      <c r="E193" s="20" t="n">
        <f aca="false">IF($A193&gt;PARAMETROS!$C$33,"",P192)</f>
        <v>278230.178086097</v>
      </c>
      <c r="F193" s="21" t="n">
        <f aca="false">IF($A193&gt;PARAMETROS!$C$33,"",PARAMETROS!$C$38)</f>
        <v>0.00495440818448101</v>
      </c>
      <c r="G193" s="20" t="n">
        <f aca="false">IF($A193&gt;PARAMETROS!$C$33,"",E193*F193)</f>
        <v>1378.46587147937</v>
      </c>
      <c r="H193" s="20" t="n">
        <f aca="false">IF($A193&gt;PARAMETROS!$C$33,"",E193*PARAMETROS!$C$39)</f>
        <v>207.816776151674</v>
      </c>
      <c r="I193" s="20" t="n">
        <f aca="false">IF($A193&gt;PARAMETROS!$C$33,"",G193-H193)</f>
        <v>1170.64909532769</v>
      </c>
      <c r="J193" s="20" t="n">
        <f aca="false">IF($A193&gt;PARAMETROS!$C$33,"",PARAMETROS!$C$9*(1+PARAMETROS!$C$17)^(B193-1))</f>
        <v>53562.6360053884</v>
      </c>
      <c r="K193" s="20" t="n">
        <f aca="false">IF($A193&gt;PARAMETROS!$C$33,"",K192*(1+PARAMETROS!$C$36))</f>
        <v>49032.6727909326</v>
      </c>
      <c r="L193" s="20" t="n">
        <f aca="false">IF($A193&gt;PARAMETROS!$C$33,"",L192*(1+PARAMETROS!$C$37)*(1+M193))</f>
        <v>19719.1777389504</v>
      </c>
      <c r="M193" s="21" t="n">
        <f aca="false">IF($A193&gt;PARAMETROS!$C$33,"",IF(C193&lt;70,PARAMETROS!$C$40,IF(C193&lt;75,PARAMETROS!$C$41,IF(C193&lt;80,PARAMETROS!$C$42,IF(C193&lt;85,PARAMETROS!$C$43,IF(C193&lt;90,PARAMETROS!$C$44,PARAMETROS!$C$45))))))</f>
        <v>0.000829538114346162</v>
      </c>
      <c r="N193" s="20" t="n">
        <f aca="false">IF($A193&gt;PARAMETROS!$C$33,"",K193+L193)</f>
        <v>68751.850529883</v>
      </c>
      <c r="O193" s="20" t="n">
        <f aca="false">IF($A193&gt;PARAMETROS!$C$33,"",I193+J193-N193)</f>
        <v>-14018.5654291669</v>
      </c>
      <c r="P193" s="20" t="n">
        <f aca="false">IF($A193&gt;PARAMETROS!$C$33,"",MAX(E193+I193+J193-N193,0))</f>
        <v>264211.61265693</v>
      </c>
      <c r="Q193" s="22" t="str">
        <f aca="false">IF($A193&gt;PARAMETROS!$C$33,"",IF(P193&lt;=0,"AGOTADO","OK"))</f>
        <v>OK</v>
      </c>
    </row>
    <row r="194" customFormat="false" ht="15" hidden="false" customHeight="false" outlineLevel="0" collapsed="false">
      <c r="A194" s="19" t="n">
        <f aca="false">A193+1</f>
        <v>192</v>
      </c>
      <c r="B194" s="19" t="n">
        <f aca="false">IF($A194="","",ROUNDUP($A194/12,0))</f>
        <v>16</v>
      </c>
      <c r="C194" s="19" t="n">
        <f aca="false">IF($A194="","",PARAMETROS!$C$6+INT(($A194-1)/12))</f>
        <v>80</v>
      </c>
      <c r="D194" s="19" t="n">
        <f aca="false">IF($A194="","",MOD($A194-1,12)+1)</f>
        <v>12</v>
      </c>
      <c r="E194" s="20" t="n">
        <f aca="false">IF($A194&gt;PARAMETROS!$C$33,"",P193)</f>
        <v>264211.61265693</v>
      </c>
      <c r="F194" s="21" t="n">
        <f aca="false">IF($A194&gt;PARAMETROS!$C$33,"",PARAMETROS!$C$38)</f>
        <v>0.00495440818448101</v>
      </c>
      <c r="G194" s="20" t="n">
        <f aca="false">IF($A194&gt;PARAMETROS!$C$33,"",E194*F194)</f>
        <v>1309.01217618242</v>
      </c>
      <c r="H194" s="20" t="n">
        <f aca="false">IF($A194&gt;PARAMETROS!$C$33,"",E194*PARAMETROS!$C$39)</f>
        <v>197.345974264543</v>
      </c>
      <c r="I194" s="20" t="n">
        <f aca="false">IF($A194&gt;PARAMETROS!$C$33,"",G194-H194)</f>
        <v>1111.66620191788</v>
      </c>
      <c r="J194" s="20" t="n">
        <f aca="false">IF($A194&gt;PARAMETROS!$C$33,"",PARAMETROS!$C$9*(1+PARAMETROS!$C$17)^(B194-1))</f>
        <v>53562.6360053884</v>
      </c>
      <c r="K194" s="20" t="n">
        <f aca="false">IF($A194&gt;PARAMETROS!$C$33,"",K193*(1+PARAMETROS!$C$36))</f>
        <v>49200.6760869504</v>
      </c>
      <c r="L194" s="20" t="n">
        <f aca="false">IF($A194&gt;PARAMETROS!$C$33,"",L193*(1+PARAMETROS!$C$37)*(1+M194))</f>
        <v>19813.422494181</v>
      </c>
      <c r="M194" s="21" t="n">
        <f aca="false">IF($A194&gt;PARAMETROS!$C$33,"",IF(C194&lt;70,PARAMETROS!$C$40,IF(C194&lt;75,PARAMETROS!$C$41,IF(C194&lt;80,PARAMETROS!$C$42,IF(C194&lt;85,PARAMETROS!$C$43,IF(C194&lt;90,PARAMETROS!$C$44,PARAMETROS!$C$45))))))</f>
        <v>0.000829538114346162</v>
      </c>
      <c r="N194" s="20" t="n">
        <f aca="false">IF($A194&gt;PARAMETROS!$C$33,"",K194+L194)</f>
        <v>69014.0985811315</v>
      </c>
      <c r="O194" s="20" t="n">
        <f aca="false">IF($A194&gt;PARAMETROS!$C$33,"",I194+J194-N194)</f>
        <v>-14339.7963738252</v>
      </c>
      <c r="P194" s="20" t="n">
        <f aca="false">IF($A194&gt;PARAMETROS!$C$33,"",MAX(E194+I194+J194-N194,0))</f>
        <v>249871.816283105</v>
      </c>
      <c r="Q194" s="22" t="str">
        <f aca="false">IF($A194&gt;PARAMETROS!$C$33,"",IF(P194&lt;=0,"AGOTADO","OK"))</f>
        <v>OK</v>
      </c>
    </row>
    <row r="195" customFormat="false" ht="15" hidden="false" customHeight="false" outlineLevel="0" collapsed="false">
      <c r="A195" s="15" t="n">
        <f aca="false">A194+1</f>
        <v>193</v>
      </c>
      <c r="B195" s="15" t="n">
        <f aca="false">IF($A195="","",ROUNDUP($A195/12,0))</f>
        <v>17</v>
      </c>
      <c r="C195" s="15" t="n">
        <f aca="false">IF($A195="","",PARAMETROS!$C$6+INT(($A195-1)/12))</f>
        <v>81</v>
      </c>
      <c r="D195" s="15" t="n">
        <f aca="false">IF($A195="","",MOD($A195-1,12)+1)</f>
        <v>1</v>
      </c>
      <c r="E195" s="16" t="n">
        <f aca="false">IF($A195&gt;PARAMETROS!$C$33,"",P194)</f>
        <v>249871.816283105</v>
      </c>
      <c r="F195" s="17" t="n">
        <f aca="false">IF($A195&gt;PARAMETROS!$C$33,"",PARAMETROS!$C$38)</f>
        <v>0.00495440818448101</v>
      </c>
      <c r="G195" s="16" t="n">
        <f aca="false">IF($A195&gt;PARAMETROS!$C$33,"",E195*F195)</f>
        <v>1237.96697166415</v>
      </c>
      <c r="H195" s="16" t="n">
        <f aca="false">IF($A195&gt;PARAMETROS!$C$33,"",E195*PARAMETROS!$C$39)</f>
        <v>186.635237299994</v>
      </c>
      <c r="I195" s="16" t="n">
        <f aca="false">IF($A195&gt;PARAMETROS!$C$33,"",G195-H195)</f>
        <v>1051.33173436416</v>
      </c>
      <c r="J195" s="16" t="n">
        <f aca="false">IF($A195&gt;PARAMETROS!$C$33,"",PARAMETROS!$C$9*(1+PARAMETROS!$C$17)^(B195-1))</f>
        <v>55673.0038640007</v>
      </c>
      <c r="K195" s="16" t="n">
        <f aca="false">IF($A195&gt;PARAMETROS!$C$33,"",K194*(1+PARAMETROS!$C$36))</f>
        <v>49369.2550217386</v>
      </c>
      <c r="L195" s="16" t="n">
        <f aca="false">IF($A195&gt;PARAMETROS!$C$33,"",L194*(1+PARAMETROS!$C$37)*(1+M195))</f>
        <v>19908.1176776195</v>
      </c>
      <c r="M195" s="17" t="n">
        <f aca="false">IF($A195&gt;PARAMETROS!$C$33,"",IF(C195&lt;70,PARAMETROS!$C$40,IF(C195&lt;75,PARAMETROS!$C$41,IF(C195&lt;80,PARAMETROS!$C$42,IF(C195&lt;85,PARAMETROS!$C$43,IF(C195&lt;90,PARAMETROS!$C$44,PARAMETROS!$C$45))))))</f>
        <v>0.000829538114346162</v>
      </c>
      <c r="N195" s="16" t="n">
        <f aca="false">IF($A195&gt;PARAMETROS!$C$33,"",K195+L195)</f>
        <v>69277.3726993581</v>
      </c>
      <c r="O195" s="16" t="n">
        <f aca="false">IF($A195&gt;PARAMETROS!$C$33,"",I195+J195-N195)</f>
        <v>-12553.0371009932</v>
      </c>
      <c r="P195" s="16" t="n">
        <f aca="false">IF($A195&gt;PARAMETROS!$C$33,"",MAX(E195+I195+J195-N195,0))</f>
        <v>237318.779182112</v>
      </c>
      <c r="Q195" s="18" t="str">
        <f aca="false">IF($A195&gt;PARAMETROS!$C$33,"",IF(P195&lt;=0,"AGOTADO","OK"))</f>
        <v>OK</v>
      </c>
    </row>
    <row r="196" customFormat="false" ht="15" hidden="false" customHeight="false" outlineLevel="0" collapsed="false">
      <c r="A196" s="15" t="n">
        <f aca="false">A195+1</f>
        <v>194</v>
      </c>
      <c r="B196" s="15" t="n">
        <f aca="false">IF($A196="","",ROUNDUP($A196/12,0))</f>
        <v>17</v>
      </c>
      <c r="C196" s="15" t="n">
        <f aca="false">IF($A196="","",PARAMETROS!$C$6+INT(($A196-1)/12))</f>
        <v>81</v>
      </c>
      <c r="D196" s="15" t="n">
        <f aca="false">IF($A196="","",MOD($A196-1,12)+1)</f>
        <v>2</v>
      </c>
      <c r="E196" s="16" t="n">
        <f aca="false">IF($A196&gt;PARAMETROS!$C$33,"",P195)</f>
        <v>237318.779182112</v>
      </c>
      <c r="F196" s="17" t="n">
        <f aca="false">IF($A196&gt;PARAMETROS!$C$33,"",PARAMETROS!$C$38)</f>
        <v>0.00495440818448101</v>
      </c>
      <c r="G196" s="16" t="n">
        <f aca="false">IF($A196&gt;PARAMETROS!$C$33,"",E196*F196)</f>
        <v>1175.77410191089</v>
      </c>
      <c r="H196" s="16" t="n">
        <f aca="false">IF($A196&gt;PARAMETROS!$C$33,"",E196*PARAMETROS!$C$39)</f>
        <v>177.259073581213</v>
      </c>
      <c r="I196" s="16" t="n">
        <f aca="false">IF($A196&gt;PARAMETROS!$C$33,"",G196-H196)</f>
        <v>998.515028329681</v>
      </c>
      <c r="J196" s="16" t="n">
        <f aca="false">IF($A196&gt;PARAMETROS!$C$33,"",PARAMETROS!$C$9*(1+PARAMETROS!$C$17)^(B196-1))</f>
        <v>55673.0038640007</v>
      </c>
      <c r="K196" s="16" t="n">
        <f aca="false">IF($A196&gt;PARAMETROS!$C$33,"",K195*(1+PARAMETROS!$C$36))</f>
        <v>49538.4115676393</v>
      </c>
      <c r="L196" s="16" t="n">
        <f aca="false">IF($A196&gt;PARAMETROS!$C$33,"",L195*(1+PARAMETROS!$C$37)*(1+M196))</f>
        <v>20003.2654420176</v>
      </c>
      <c r="M196" s="17" t="n">
        <f aca="false">IF($A196&gt;PARAMETROS!$C$33,"",IF(C196&lt;70,PARAMETROS!$C$40,IF(C196&lt;75,PARAMETROS!$C$41,IF(C196&lt;80,PARAMETROS!$C$42,IF(C196&lt;85,PARAMETROS!$C$43,IF(C196&lt;90,PARAMETROS!$C$44,PARAMETROS!$C$45))))))</f>
        <v>0.000829538114346162</v>
      </c>
      <c r="N196" s="16" t="n">
        <f aca="false">IF($A196&gt;PARAMETROS!$C$33,"",K196+L196)</f>
        <v>69541.677009657</v>
      </c>
      <c r="O196" s="16" t="n">
        <f aca="false">IF($A196&gt;PARAMETROS!$C$33,"",I196+J196-N196)</f>
        <v>-12870.1581173266</v>
      </c>
      <c r="P196" s="16" t="n">
        <f aca="false">IF($A196&gt;PARAMETROS!$C$33,"",MAX(E196+I196+J196-N196,0))</f>
        <v>224448.621064785</v>
      </c>
      <c r="Q196" s="18" t="str">
        <f aca="false">IF($A196&gt;PARAMETROS!$C$33,"",IF(P196&lt;=0,"AGOTADO","OK"))</f>
        <v>OK</v>
      </c>
    </row>
    <row r="197" customFormat="false" ht="15" hidden="false" customHeight="false" outlineLevel="0" collapsed="false">
      <c r="A197" s="15" t="n">
        <f aca="false">A196+1</f>
        <v>195</v>
      </c>
      <c r="B197" s="15" t="n">
        <f aca="false">IF($A197="","",ROUNDUP($A197/12,0))</f>
        <v>17</v>
      </c>
      <c r="C197" s="15" t="n">
        <f aca="false">IF($A197="","",PARAMETROS!$C$6+INT(($A197-1)/12))</f>
        <v>81</v>
      </c>
      <c r="D197" s="15" t="n">
        <f aca="false">IF($A197="","",MOD($A197-1,12)+1)</f>
        <v>3</v>
      </c>
      <c r="E197" s="16" t="n">
        <f aca="false">IF($A197&gt;PARAMETROS!$C$33,"",P196)</f>
        <v>224448.621064785</v>
      </c>
      <c r="F197" s="17" t="n">
        <f aca="false">IF($A197&gt;PARAMETROS!$C$33,"",PARAMETROS!$C$38)</f>
        <v>0.00495440818448101</v>
      </c>
      <c r="G197" s="16" t="n">
        <f aca="false">IF($A197&gt;PARAMETROS!$C$33,"",E197*F197)</f>
        <v>1112.01008519885</v>
      </c>
      <c r="H197" s="16" t="n">
        <f aca="false">IF($A197&gt;PARAMETROS!$C$33,"",E197*PARAMETROS!$C$39)</f>
        <v>167.646044588803</v>
      </c>
      <c r="I197" s="16" t="n">
        <f aca="false">IF($A197&gt;PARAMETROS!$C$33,"",G197-H197)</f>
        <v>944.364040610044</v>
      </c>
      <c r="J197" s="16" t="n">
        <f aca="false">IF($A197&gt;PARAMETROS!$C$33,"",PARAMETROS!$C$9*(1+PARAMETROS!$C$17)^(B197-1))</f>
        <v>55673.0038640007</v>
      </c>
      <c r="K197" s="16" t="n">
        <f aca="false">IF($A197&gt;PARAMETROS!$C$33,"",K196*(1+PARAMETROS!$C$36))</f>
        <v>49708.1477037528</v>
      </c>
      <c r="L197" s="16" t="n">
        <f aca="false">IF($A197&gt;PARAMETROS!$C$33,"",L196*(1+PARAMETROS!$C$37)*(1+M197))</f>
        <v>20098.867950416</v>
      </c>
      <c r="M197" s="17" t="n">
        <f aca="false">IF($A197&gt;PARAMETROS!$C$33,"",IF(C197&lt;70,PARAMETROS!$C$40,IF(C197&lt;75,PARAMETROS!$C$41,IF(C197&lt;80,PARAMETROS!$C$42,IF(C197&lt;85,PARAMETROS!$C$43,IF(C197&lt;90,PARAMETROS!$C$44,PARAMETROS!$C$45))))))</f>
        <v>0.000829538114346162</v>
      </c>
      <c r="N197" s="16" t="n">
        <f aca="false">IF($A197&gt;PARAMETROS!$C$33,"",K197+L197)</f>
        <v>69807.0156541688</v>
      </c>
      <c r="O197" s="16" t="n">
        <f aca="false">IF($A197&gt;PARAMETROS!$C$33,"",I197+J197-N197)</f>
        <v>-13189.6477495581</v>
      </c>
      <c r="P197" s="16" t="n">
        <f aca="false">IF($A197&gt;PARAMETROS!$C$33,"",MAX(E197+I197+J197-N197,0))</f>
        <v>211258.973315227</v>
      </c>
      <c r="Q197" s="18" t="str">
        <f aca="false">IF($A197&gt;PARAMETROS!$C$33,"",IF(P197&lt;=0,"AGOTADO","OK"))</f>
        <v>OK</v>
      </c>
    </row>
    <row r="198" customFormat="false" ht="15" hidden="false" customHeight="false" outlineLevel="0" collapsed="false">
      <c r="A198" s="15" t="n">
        <f aca="false">A197+1</f>
        <v>196</v>
      </c>
      <c r="B198" s="15" t="n">
        <f aca="false">IF($A198="","",ROUNDUP($A198/12,0))</f>
        <v>17</v>
      </c>
      <c r="C198" s="15" t="n">
        <f aca="false">IF($A198="","",PARAMETROS!$C$6+INT(($A198-1)/12))</f>
        <v>81</v>
      </c>
      <c r="D198" s="15" t="n">
        <f aca="false">IF($A198="","",MOD($A198-1,12)+1)</f>
        <v>4</v>
      </c>
      <c r="E198" s="16" t="n">
        <f aca="false">IF($A198&gt;PARAMETROS!$C$33,"",P197)</f>
        <v>211258.973315227</v>
      </c>
      <c r="F198" s="17" t="n">
        <f aca="false">IF($A198&gt;PARAMETROS!$C$33,"",PARAMETROS!$C$38)</f>
        <v>0.00495440818448101</v>
      </c>
      <c r="G198" s="16" t="n">
        <f aca="false">IF($A198&gt;PARAMETROS!$C$33,"",E198*F198)</f>
        <v>1046.66318643801</v>
      </c>
      <c r="H198" s="16" t="n">
        <f aca="false">IF($A198&gt;PARAMETROS!$C$33,"",E198*PARAMETROS!$C$39)</f>
        <v>157.794381146884</v>
      </c>
      <c r="I198" s="16" t="n">
        <f aca="false">IF($A198&gt;PARAMETROS!$C$33,"",G198-H198)</f>
        <v>888.868805291131</v>
      </c>
      <c r="J198" s="16" t="n">
        <f aca="false">IF($A198&gt;PARAMETROS!$C$33,"",PARAMETROS!$C$9*(1+PARAMETROS!$C$17)^(B198-1))</f>
        <v>55673.0038640007</v>
      </c>
      <c r="K198" s="16" t="n">
        <f aca="false">IF($A198&gt;PARAMETROS!$C$33,"",K197*(1+PARAMETROS!$C$36))</f>
        <v>49878.4654159603</v>
      </c>
      <c r="L198" s="16" t="n">
        <f aca="false">IF($A198&gt;PARAMETROS!$C$33,"",L197*(1+PARAMETROS!$C$37)*(1+M198))</f>
        <v>20194.9273761931</v>
      </c>
      <c r="M198" s="17" t="n">
        <f aca="false">IF($A198&gt;PARAMETROS!$C$33,"",IF(C198&lt;70,PARAMETROS!$C$40,IF(C198&lt;75,PARAMETROS!$C$41,IF(C198&lt;80,PARAMETROS!$C$42,IF(C198&lt;85,PARAMETROS!$C$43,IF(C198&lt;90,PARAMETROS!$C$44,PARAMETROS!$C$45))))))</f>
        <v>0.000829538114346162</v>
      </c>
      <c r="N198" s="16" t="n">
        <f aca="false">IF($A198&gt;PARAMETROS!$C$33,"",K198+L198)</f>
        <v>70073.3927921534</v>
      </c>
      <c r="O198" s="16" t="n">
        <f aca="false">IF($A198&gt;PARAMETROS!$C$33,"",I198+J198-N198)</f>
        <v>-13511.5201228616</v>
      </c>
      <c r="P198" s="16" t="n">
        <f aca="false">IF($A198&gt;PARAMETROS!$C$33,"",MAX(E198+I198+J198-N198,0))</f>
        <v>197747.453192365</v>
      </c>
      <c r="Q198" s="18" t="str">
        <f aca="false">IF($A198&gt;PARAMETROS!$C$33,"",IF(P198&lt;=0,"AGOTADO","OK"))</f>
        <v>OK</v>
      </c>
    </row>
    <row r="199" customFormat="false" ht="15" hidden="false" customHeight="false" outlineLevel="0" collapsed="false">
      <c r="A199" s="15" t="n">
        <f aca="false">A198+1</f>
        <v>197</v>
      </c>
      <c r="B199" s="15" t="n">
        <f aca="false">IF($A199="","",ROUNDUP($A199/12,0))</f>
        <v>17</v>
      </c>
      <c r="C199" s="15" t="n">
        <f aca="false">IF($A199="","",PARAMETROS!$C$6+INT(($A199-1)/12))</f>
        <v>81</v>
      </c>
      <c r="D199" s="15" t="n">
        <f aca="false">IF($A199="","",MOD($A199-1,12)+1)</f>
        <v>5</v>
      </c>
      <c r="E199" s="16" t="n">
        <f aca="false">IF($A199&gt;PARAMETROS!$C$33,"",P198)</f>
        <v>197747.453192365</v>
      </c>
      <c r="F199" s="17" t="n">
        <f aca="false">IF($A199&gt;PARAMETROS!$C$33,"",PARAMETROS!$C$38)</f>
        <v>0.00495440818448101</v>
      </c>
      <c r="G199" s="16" t="n">
        <f aca="false">IF($A199&gt;PARAMETROS!$C$33,"",E199*F199)</f>
        <v>979.721600556529</v>
      </c>
      <c r="H199" s="16" t="n">
        <f aca="false">IF($A199&gt;PARAMETROS!$C$33,"",E199*PARAMETROS!$C$39)</f>
        <v>147.702303529147</v>
      </c>
      <c r="I199" s="16" t="n">
        <f aca="false">IF($A199&gt;PARAMETROS!$C$33,"",G199-H199)</f>
        <v>832.019297027382</v>
      </c>
      <c r="J199" s="16" t="n">
        <f aca="false">IF($A199&gt;PARAMETROS!$C$33,"",PARAMETROS!$C$9*(1+PARAMETROS!$C$17)^(B199-1))</f>
        <v>55673.0038640007</v>
      </c>
      <c r="K199" s="16" t="n">
        <f aca="false">IF($A199&gt;PARAMETROS!$C$33,"",K198*(1+PARAMETROS!$C$36))</f>
        <v>50049.3666969474</v>
      </c>
      <c r="L199" s="16" t="n">
        <f aca="false">IF($A199&gt;PARAMETROS!$C$33,"",L198*(1+PARAMETROS!$C$37)*(1+M199))</f>
        <v>20291.4459031148</v>
      </c>
      <c r="M199" s="17" t="n">
        <f aca="false">IF($A199&gt;PARAMETROS!$C$33,"",IF(C199&lt;70,PARAMETROS!$C$40,IF(C199&lt;75,PARAMETROS!$C$41,IF(C199&lt;80,PARAMETROS!$C$42,IF(C199&lt;85,PARAMETROS!$C$43,IF(C199&lt;90,PARAMETROS!$C$44,PARAMETROS!$C$45))))))</f>
        <v>0.000829538114346162</v>
      </c>
      <c r="N199" s="16" t="n">
        <f aca="false">IF($A199&gt;PARAMETROS!$C$33,"",K199+L199)</f>
        <v>70340.8126000622</v>
      </c>
      <c r="O199" s="16" t="n">
        <f aca="false">IF($A199&gt;PARAMETROS!$C$33,"",I199+J199-N199)</f>
        <v>-13835.7894390341</v>
      </c>
      <c r="P199" s="16" t="n">
        <f aca="false">IF($A199&gt;PARAMETROS!$C$33,"",MAX(E199+I199+J199-N199,0))</f>
        <v>183911.663753331</v>
      </c>
      <c r="Q199" s="18" t="str">
        <f aca="false">IF($A199&gt;PARAMETROS!$C$33,"",IF(P199&lt;=0,"AGOTADO","OK"))</f>
        <v>OK</v>
      </c>
    </row>
    <row r="200" customFormat="false" ht="15" hidden="false" customHeight="false" outlineLevel="0" collapsed="false">
      <c r="A200" s="15" t="n">
        <f aca="false">A199+1</f>
        <v>198</v>
      </c>
      <c r="B200" s="15" t="n">
        <f aca="false">IF($A200="","",ROUNDUP($A200/12,0))</f>
        <v>17</v>
      </c>
      <c r="C200" s="15" t="n">
        <f aca="false">IF($A200="","",PARAMETROS!$C$6+INT(($A200-1)/12))</f>
        <v>81</v>
      </c>
      <c r="D200" s="15" t="n">
        <f aca="false">IF($A200="","",MOD($A200-1,12)+1)</f>
        <v>6</v>
      </c>
      <c r="E200" s="16" t="n">
        <f aca="false">IF($A200&gt;PARAMETROS!$C$33,"",P199)</f>
        <v>183911.663753331</v>
      </c>
      <c r="F200" s="17" t="n">
        <f aca="false">IF($A200&gt;PARAMETROS!$C$33,"",PARAMETROS!$C$38)</f>
        <v>0.00495440818448101</v>
      </c>
      <c r="G200" s="16" t="n">
        <f aca="false">IF($A200&gt;PARAMETROS!$C$33,"",E200*F200)</f>
        <v>911.173452121023</v>
      </c>
      <c r="H200" s="16" t="n">
        <f aca="false">IF($A200&gt;PARAMETROS!$C$33,"",E200*PARAMETROS!$C$39)</f>
        <v>137.368021401622</v>
      </c>
      <c r="I200" s="16" t="n">
        <f aca="false">IF($A200&gt;PARAMETROS!$C$33,"",G200-H200)</f>
        <v>773.805430719401</v>
      </c>
      <c r="J200" s="16" t="n">
        <f aca="false">IF($A200&gt;PARAMETROS!$C$33,"",PARAMETROS!$C$9*(1+PARAMETROS!$C$17)^(B200-1))</f>
        <v>55673.0038640007</v>
      </c>
      <c r="K200" s="16" t="n">
        <f aca="false">IF($A200&gt;PARAMETROS!$C$33,"",K199*(1+PARAMETROS!$C$36))</f>
        <v>50220.8535462274</v>
      </c>
      <c r="L200" s="16" t="n">
        <f aca="false">IF($A200&gt;PARAMETROS!$C$33,"",L199*(1+PARAMETROS!$C$37)*(1+M200))</f>
        <v>20388.4257253838</v>
      </c>
      <c r="M200" s="17" t="n">
        <f aca="false">IF($A200&gt;PARAMETROS!$C$33,"",IF(C200&lt;70,PARAMETROS!$C$40,IF(C200&lt;75,PARAMETROS!$C$41,IF(C200&lt;80,PARAMETROS!$C$42,IF(C200&lt;85,PARAMETROS!$C$43,IF(C200&lt;90,PARAMETROS!$C$44,PARAMETROS!$C$45))))))</f>
        <v>0.000829538114346162</v>
      </c>
      <c r="N200" s="16" t="n">
        <f aca="false">IF($A200&gt;PARAMETROS!$C$33,"",K200+L200)</f>
        <v>70609.2792716112</v>
      </c>
      <c r="O200" s="16" t="n">
        <f aca="false">IF($A200&gt;PARAMETROS!$C$33,"",I200+J200-N200)</f>
        <v>-14162.4699768911</v>
      </c>
      <c r="P200" s="16" t="n">
        <f aca="false">IF($A200&gt;PARAMETROS!$C$33,"",MAX(E200+I200+J200-N200,0))</f>
        <v>169749.19377644</v>
      </c>
      <c r="Q200" s="18" t="str">
        <f aca="false">IF($A200&gt;PARAMETROS!$C$33,"",IF(P200&lt;=0,"AGOTADO","OK"))</f>
        <v>OK</v>
      </c>
    </row>
    <row r="201" customFormat="false" ht="15" hidden="false" customHeight="false" outlineLevel="0" collapsed="false">
      <c r="A201" s="15" t="n">
        <f aca="false">A200+1</f>
        <v>199</v>
      </c>
      <c r="B201" s="15" t="n">
        <f aca="false">IF($A201="","",ROUNDUP($A201/12,0))</f>
        <v>17</v>
      </c>
      <c r="C201" s="15" t="n">
        <f aca="false">IF($A201="","",PARAMETROS!$C$6+INT(($A201-1)/12))</f>
        <v>81</v>
      </c>
      <c r="D201" s="15" t="n">
        <f aca="false">IF($A201="","",MOD($A201-1,12)+1)</f>
        <v>7</v>
      </c>
      <c r="E201" s="16" t="n">
        <f aca="false">IF($A201&gt;PARAMETROS!$C$33,"",P200)</f>
        <v>169749.19377644</v>
      </c>
      <c r="F201" s="17" t="n">
        <f aca="false">IF($A201&gt;PARAMETROS!$C$33,"",PARAMETROS!$C$38)</f>
        <v>0.00495440818448101</v>
      </c>
      <c r="G201" s="16" t="n">
        <f aca="false">IF($A201&gt;PARAMETROS!$C$33,"",E201*F201)</f>
        <v>841.006794955047</v>
      </c>
      <c r="H201" s="16" t="n">
        <f aca="false">IF($A201&gt;PARAMETROS!$C$33,"",E201*PARAMETROS!$C$39)</f>
        <v>126.789733765147</v>
      </c>
      <c r="I201" s="16" t="n">
        <f aca="false">IF($A201&gt;PARAMETROS!$C$33,"",G201-H201)</f>
        <v>714.217061189901</v>
      </c>
      <c r="J201" s="16" t="n">
        <f aca="false">IF($A201&gt;PARAMETROS!$C$33,"",PARAMETROS!$C$9*(1+PARAMETROS!$C$17)^(B201-1))</f>
        <v>55673.0038640007</v>
      </c>
      <c r="K201" s="16" t="n">
        <f aca="false">IF($A201&gt;PARAMETROS!$C$33,"",K200*(1+PARAMETROS!$C$36))</f>
        <v>50392.9279701644</v>
      </c>
      <c r="L201" s="16" t="n">
        <f aca="false">IF($A201&gt;PARAMETROS!$C$33,"",L200*(1+PARAMETROS!$C$37)*(1+M201))</f>
        <v>20485.8690476899</v>
      </c>
      <c r="M201" s="17" t="n">
        <f aca="false">IF($A201&gt;PARAMETROS!$C$33,"",IF(C201&lt;70,PARAMETROS!$C$40,IF(C201&lt;75,PARAMETROS!$C$41,IF(C201&lt;80,PARAMETROS!$C$42,IF(C201&lt;85,PARAMETROS!$C$43,IF(C201&lt;90,PARAMETROS!$C$44,PARAMETROS!$C$45))))))</f>
        <v>0.000829538114346162</v>
      </c>
      <c r="N201" s="16" t="n">
        <f aca="false">IF($A201&gt;PARAMETROS!$C$33,"",K201+L201)</f>
        <v>70878.7970178543</v>
      </c>
      <c r="O201" s="16" t="n">
        <f aca="false">IF($A201&gt;PARAMETROS!$C$33,"",I201+J201-N201)</f>
        <v>-14491.5760926637</v>
      </c>
      <c r="P201" s="16" t="n">
        <f aca="false">IF($A201&gt;PARAMETROS!$C$33,"",MAX(E201+I201+J201-N201,0))</f>
        <v>155257.617683776</v>
      </c>
      <c r="Q201" s="18" t="str">
        <f aca="false">IF($A201&gt;PARAMETROS!$C$33,"",IF(P201&lt;=0,"AGOTADO","OK"))</f>
        <v>OK</v>
      </c>
    </row>
    <row r="202" customFormat="false" ht="15" hidden="false" customHeight="false" outlineLevel="0" collapsed="false">
      <c r="A202" s="15" t="n">
        <f aca="false">A201+1</f>
        <v>200</v>
      </c>
      <c r="B202" s="15" t="n">
        <f aca="false">IF($A202="","",ROUNDUP($A202/12,0))</f>
        <v>17</v>
      </c>
      <c r="C202" s="15" t="n">
        <f aca="false">IF($A202="","",PARAMETROS!$C$6+INT(($A202-1)/12))</f>
        <v>81</v>
      </c>
      <c r="D202" s="15" t="n">
        <f aca="false">IF($A202="","",MOD($A202-1,12)+1)</f>
        <v>8</v>
      </c>
      <c r="E202" s="16" t="n">
        <f aca="false">IF($A202&gt;PARAMETROS!$C$33,"",P201)</f>
        <v>155257.617683776</v>
      </c>
      <c r="F202" s="17" t="n">
        <f aca="false">IF($A202&gt;PARAMETROS!$C$33,"",PARAMETROS!$C$38)</f>
        <v>0.00495440818448101</v>
      </c>
      <c r="G202" s="16" t="n">
        <f aca="false">IF($A202&gt;PARAMETROS!$C$33,"",E202*F202)</f>
        <v>769.209611755525</v>
      </c>
      <c r="H202" s="16" t="n">
        <f aca="false">IF($A202&gt;PARAMETROS!$C$33,"",E202*PARAMETROS!$C$39)</f>
        <v>115.96562889755</v>
      </c>
      <c r="I202" s="16" t="n">
        <f aca="false">IF($A202&gt;PARAMETROS!$C$33,"",G202-H202)</f>
        <v>653.243982857975</v>
      </c>
      <c r="J202" s="16" t="n">
        <f aca="false">IF($A202&gt;PARAMETROS!$C$33,"",PARAMETROS!$C$9*(1+PARAMETROS!$C$17)^(B202-1))</f>
        <v>55673.0038640007</v>
      </c>
      <c r="K202" s="16" t="n">
        <f aca="false">IF($A202&gt;PARAMETROS!$C$33,"",K201*(1+PARAMETROS!$C$36))</f>
        <v>50565.5919819974</v>
      </c>
      <c r="L202" s="16" t="n">
        <f aca="false">IF($A202&gt;PARAMETROS!$C$33,"",L201*(1+PARAMETROS!$C$37)*(1+M202))</f>
        <v>20583.7780852596</v>
      </c>
      <c r="M202" s="17" t="n">
        <f aca="false">IF($A202&gt;PARAMETROS!$C$33,"",IF(C202&lt;70,PARAMETROS!$C$40,IF(C202&lt;75,PARAMETROS!$C$41,IF(C202&lt;80,PARAMETROS!$C$42,IF(C202&lt;85,PARAMETROS!$C$43,IF(C202&lt;90,PARAMETROS!$C$44,PARAMETROS!$C$45))))))</f>
        <v>0.000829538114346162</v>
      </c>
      <c r="N202" s="16" t="n">
        <f aca="false">IF($A202&gt;PARAMETROS!$C$33,"",K202+L202)</f>
        <v>71149.370067257</v>
      </c>
      <c r="O202" s="16" t="n">
        <f aca="false">IF($A202&gt;PARAMETROS!$C$33,"",I202+J202-N202)</f>
        <v>-14823.1222203983</v>
      </c>
      <c r="P202" s="16" t="n">
        <f aca="false">IF($A202&gt;PARAMETROS!$C$33,"",MAX(E202+I202+J202-N202,0))</f>
        <v>140434.495463378</v>
      </c>
      <c r="Q202" s="18" t="str">
        <f aca="false">IF($A202&gt;PARAMETROS!$C$33,"",IF(P202&lt;=0,"AGOTADO","OK"))</f>
        <v>OK</v>
      </c>
    </row>
    <row r="203" customFormat="false" ht="15" hidden="false" customHeight="false" outlineLevel="0" collapsed="false">
      <c r="A203" s="15" t="n">
        <f aca="false">A202+1</f>
        <v>201</v>
      </c>
      <c r="B203" s="15" t="n">
        <f aca="false">IF($A203="","",ROUNDUP($A203/12,0))</f>
        <v>17</v>
      </c>
      <c r="C203" s="15" t="n">
        <f aca="false">IF($A203="","",PARAMETROS!$C$6+INT(($A203-1)/12))</f>
        <v>81</v>
      </c>
      <c r="D203" s="15" t="n">
        <f aca="false">IF($A203="","",MOD($A203-1,12)+1)</f>
        <v>9</v>
      </c>
      <c r="E203" s="16" t="n">
        <f aca="false">IF($A203&gt;PARAMETROS!$C$33,"",P202)</f>
        <v>140434.495463378</v>
      </c>
      <c r="F203" s="17" t="n">
        <f aca="false">IF($A203&gt;PARAMETROS!$C$33,"",PARAMETROS!$C$38)</f>
        <v>0.00495440818448101</v>
      </c>
      <c r="G203" s="16" t="n">
        <f aca="false">IF($A203&gt;PARAMETROS!$C$33,"",E203*F203)</f>
        <v>695.769813707221</v>
      </c>
      <c r="H203" s="16" t="n">
        <f aca="false">IF($A203&gt;PARAMETROS!$C$33,"",E203*PARAMETROS!$C$39)</f>
        <v>104.893884295524</v>
      </c>
      <c r="I203" s="16" t="n">
        <f aca="false">IF($A203&gt;PARAMETROS!$C$33,"",G203-H203)</f>
        <v>590.875929411697</v>
      </c>
      <c r="J203" s="16" t="n">
        <f aca="false">IF($A203&gt;PARAMETROS!$C$33,"",PARAMETROS!$C$9*(1+PARAMETROS!$C$17)^(B203-1))</f>
        <v>55673.0038640007</v>
      </c>
      <c r="K203" s="16" t="n">
        <f aca="false">IF($A203&gt;PARAMETROS!$C$33,"",K202*(1+PARAMETROS!$C$36))</f>
        <v>50738.8476018632</v>
      </c>
      <c r="L203" s="16" t="n">
        <f aca="false">IF($A203&gt;PARAMETROS!$C$33,"",L202*(1+PARAMETROS!$C$37)*(1+M203))</f>
        <v>20682.1550639069</v>
      </c>
      <c r="M203" s="17" t="n">
        <f aca="false">IF($A203&gt;PARAMETROS!$C$33,"",IF(C203&lt;70,PARAMETROS!$C$40,IF(C203&lt;75,PARAMETROS!$C$41,IF(C203&lt;80,PARAMETROS!$C$42,IF(C203&lt;85,PARAMETROS!$C$43,IF(C203&lt;90,PARAMETROS!$C$44,PARAMETROS!$C$45))))))</f>
        <v>0.000829538114346162</v>
      </c>
      <c r="N203" s="16" t="n">
        <f aca="false">IF($A203&gt;PARAMETROS!$C$33,"",K203+L203)</f>
        <v>71421.0026657701</v>
      </c>
      <c r="O203" s="16" t="n">
        <f aca="false">IF($A203&gt;PARAMETROS!$C$33,"",I203+J203-N203)</f>
        <v>-15157.1228723577</v>
      </c>
      <c r="P203" s="16" t="n">
        <f aca="false">IF($A203&gt;PARAMETROS!$C$33,"",MAX(E203+I203+J203-N203,0))</f>
        <v>125277.37259102</v>
      </c>
      <c r="Q203" s="18" t="str">
        <f aca="false">IF($A203&gt;PARAMETROS!$C$33,"",IF(P203&lt;=0,"AGOTADO","OK"))</f>
        <v>OK</v>
      </c>
    </row>
    <row r="204" customFormat="false" ht="15" hidden="false" customHeight="false" outlineLevel="0" collapsed="false">
      <c r="A204" s="15" t="n">
        <f aca="false">A203+1</f>
        <v>202</v>
      </c>
      <c r="B204" s="15" t="n">
        <f aca="false">IF($A204="","",ROUNDUP($A204/12,0))</f>
        <v>17</v>
      </c>
      <c r="C204" s="15" t="n">
        <f aca="false">IF($A204="","",PARAMETROS!$C$6+INT(($A204-1)/12))</f>
        <v>81</v>
      </c>
      <c r="D204" s="15" t="n">
        <f aca="false">IF($A204="","",MOD($A204-1,12)+1)</f>
        <v>10</v>
      </c>
      <c r="E204" s="16" t="n">
        <f aca="false">IF($A204&gt;PARAMETROS!$C$33,"",P203)</f>
        <v>125277.37259102</v>
      </c>
      <c r="F204" s="17" t="n">
        <f aca="false">IF($A204&gt;PARAMETROS!$C$33,"",PARAMETROS!$C$38)</f>
        <v>0.00495440818448101</v>
      </c>
      <c r="G204" s="16" t="n">
        <f aca="false">IF($A204&gt;PARAMETROS!$C$33,"",E204*F204)</f>
        <v>620.675240095227</v>
      </c>
      <c r="H204" s="16" t="n">
        <f aca="false">IF($A204&gt;PARAMETROS!$C$33,"",E204*PARAMETROS!$C$39)</f>
        <v>93.5726666162058</v>
      </c>
      <c r="I204" s="16" t="n">
        <f aca="false">IF($A204&gt;PARAMETROS!$C$33,"",G204-H204)</f>
        <v>527.102573479022</v>
      </c>
      <c r="J204" s="16" t="n">
        <f aca="false">IF($A204&gt;PARAMETROS!$C$33,"",PARAMETROS!$C$9*(1+PARAMETROS!$C$17)^(B204-1))</f>
        <v>55673.0038640007</v>
      </c>
      <c r="K204" s="16" t="n">
        <f aca="false">IF($A204&gt;PARAMETROS!$C$33,"",K203*(1+PARAMETROS!$C$36))</f>
        <v>50912.6968568203</v>
      </c>
      <c r="L204" s="16" t="n">
        <f aca="false">IF($A204&gt;PARAMETROS!$C$33,"",L203*(1+PARAMETROS!$C$37)*(1+M204))</f>
        <v>20781.0022200837</v>
      </c>
      <c r="M204" s="17" t="n">
        <f aca="false">IF($A204&gt;PARAMETROS!$C$33,"",IF(C204&lt;70,PARAMETROS!$C$40,IF(C204&lt;75,PARAMETROS!$C$41,IF(C204&lt;80,PARAMETROS!$C$42,IF(C204&lt;85,PARAMETROS!$C$43,IF(C204&lt;90,PARAMETROS!$C$44,PARAMETROS!$C$45))))))</f>
        <v>0.000829538114346162</v>
      </c>
      <c r="N204" s="16" t="n">
        <f aca="false">IF($A204&gt;PARAMETROS!$C$33,"",K204+L204)</f>
        <v>71693.699076904</v>
      </c>
      <c r="O204" s="16" t="n">
        <f aca="false">IF($A204&gt;PARAMETROS!$C$33,"",I204+J204-N204)</f>
        <v>-15493.5926394243</v>
      </c>
      <c r="P204" s="16" t="n">
        <f aca="false">IF($A204&gt;PARAMETROS!$C$33,"",MAX(E204+I204+J204-N204,0))</f>
        <v>109783.779951596</v>
      </c>
      <c r="Q204" s="18" t="str">
        <f aca="false">IF($A204&gt;PARAMETROS!$C$33,"",IF(P204&lt;=0,"AGOTADO","OK"))</f>
        <v>OK</v>
      </c>
    </row>
    <row r="205" customFormat="false" ht="15" hidden="false" customHeight="false" outlineLevel="0" collapsed="false">
      <c r="A205" s="15" t="n">
        <f aca="false">A204+1</f>
        <v>203</v>
      </c>
      <c r="B205" s="15" t="n">
        <f aca="false">IF($A205="","",ROUNDUP($A205/12,0))</f>
        <v>17</v>
      </c>
      <c r="C205" s="15" t="n">
        <f aca="false">IF($A205="","",PARAMETROS!$C$6+INT(($A205-1)/12))</f>
        <v>81</v>
      </c>
      <c r="D205" s="15" t="n">
        <f aca="false">IF($A205="","",MOD($A205-1,12)+1)</f>
        <v>11</v>
      </c>
      <c r="E205" s="16" t="n">
        <f aca="false">IF($A205&gt;PARAMETROS!$C$33,"",P204)</f>
        <v>109783.779951596</v>
      </c>
      <c r="F205" s="17" t="n">
        <f aca="false">IF($A205&gt;PARAMETROS!$C$33,"",PARAMETROS!$C$38)</f>
        <v>0.00495440818448101</v>
      </c>
      <c r="G205" s="16" t="n">
        <f aca="false">IF($A205&gt;PARAMETROS!$C$33,"",E205*F205)</f>
        <v>543.913657915449</v>
      </c>
      <c r="H205" s="16" t="n">
        <f aca="false">IF($A205&gt;PARAMETROS!$C$33,"",E205*PARAMETROS!$C$39)</f>
        <v>82.0001316184526</v>
      </c>
      <c r="I205" s="16" t="n">
        <f aca="false">IF($A205&gt;PARAMETROS!$C$33,"",G205-H205)</f>
        <v>461.913526296996</v>
      </c>
      <c r="J205" s="16" t="n">
        <f aca="false">IF($A205&gt;PARAMETROS!$C$33,"",PARAMETROS!$C$9*(1+PARAMETROS!$C$17)^(B205-1))</f>
        <v>55673.0038640007</v>
      </c>
      <c r="K205" s="16" t="n">
        <f aca="false">IF($A205&gt;PARAMETROS!$C$33,"",K204*(1+PARAMETROS!$C$36))</f>
        <v>51087.1417808727</v>
      </c>
      <c r="L205" s="16" t="n">
        <f aca="false">IF($A205&gt;PARAMETROS!$C$33,"",L204*(1+PARAMETROS!$C$37)*(1+M205))</f>
        <v>20880.3218009307</v>
      </c>
      <c r="M205" s="17" t="n">
        <f aca="false">IF($A205&gt;PARAMETROS!$C$33,"",IF(C205&lt;70,PARAMETROS!$C$40,IF(C205&lt;75,PARAMETROS!$C$41,IF(C205&lt;80,PARAMETROS!$C$42,IF(C205&lt;85,PARAMETROS!$C$43,IF(C205&lt;90,PARAMETROS!$C$44,PARAMETROS!$C$45))))))</f>
        <v>0.000829538114346162</v>
      </c>
      <c r="N205" s="16" t="n">
        <f aca="false">IF($A205&gt;PARAMETROS!$C$33,"",K205+L205)</f>
        <v>71967.4635818034</v>
      </c>
      <c r="O205" s="16" t="n">
        <f aca="false">IF($A205&gt;PARAMETROS!$C$33,"",I205+J205-N205)</f>
        <v>-15832.5461915057</v>
      </c>
      <c r="P205" s="16" t="n">
        <f aca="false">IF($A205&gt;PARAMETROS!$C$33,"",MAX(E205+I205+J205-N205,0))</f>
        <v>93951.2337600903</v>
      </c>
      <c r="Q205" s="18" t="str">
        <f aca="false">IF($A205&gt;PARAMETROS!$C$33,"",IF(P205&lt;=0,"AGOTADO","OK"))</f>
        <v>OK</v>
      </c>
    </row>
    <row r="206" customFormat="false" ht="15" hidden="false" customHeight="false" outlineLevel="0" collapsed="false">
      <c r="A206" s="15" t="n">
        <f aca="false">A205+1</f>
        <v>204</v>
      </c>
      <c r="B206" s="15" t="n">
        <f aca="false">IF($A206="","",ROUNDUP($A206/12,0))</f>
        <v>17</v>
      </c>
      <c r="C206" s="15" t="n">
        <f aca="false">IF($A206="","",PARAMETROS!$C$6+INT(($A206-1)/12))</f>
        <v>81</v>
      </c>
      <c r="D206" s="15" t="n">
        <f aca="false">IF($A206="","",MOD($A206-1,12)+1)</f>
        <v>12</v>
      </c>
      <c r="E206" s="16" t="n">
        <f aca="false">IF($A206&gt;PARAMETROS!$C$33,"",P205)</f>
        <v>93951.2337600903</v>
      </c>
      <c r="F206" s="17" t="n">
        <f aca="false">IF($A206&gt;PARAMETROS!$C$33,"",PARAMETROS!$C$38)</f>
        <v>0.00495440818448101</v>
      </c>
      <c r="G206" s="16" t="n">
        <f aca="false">IF($A206&gt;PARAMETROS!$C$33,"",E206*F206)</f>
        <v>465.47276148308</v>
      </c>
      <c r="H206" s="16" t="n">
        <f aca="false">IF($A206&gt;PARAMETROS!$C$33,"",E206*PARAMETROS!$C$39)</f>
        <v>70.1744241038169</v>
      </c>
      <c r="I206" s="16" t="n">
        <f aca="false">IF($A206&gt;PARAMETROS!$C$33,"",G206-H206)</f>
        <v>395.298337379263</v>
      </c>
      <c r="J206" s="16" t="n">
        <f aca="false">IF($A206&gt;PARAMETROS!$C$33,"",PARAMETROS!$C$9*(1+PARAMETROS!$C$17)^(B206-1))</f>
        <v>55673.0038640007</v>
      </c>
      <c r="K206" s="16" t="n">
        <f aca="false">IF($A206&gt;PARAMETROS!$C$33,"",K205*(1+PARAMETROS!$C$36))</f>
        <v>51262.1844149936</v>
      </c>
      <c r="L206" s="16" t="n">
        <f aca="false">IF($A206&gt;PARAMETROS!$C$33,"",L205*(1+PARAMETROS!$C$37)*(1+M206))</f>
        <v>20980.1160643284</v>
      </c>
      <c r="M206" s="17" t="n">
        <f aca="false">IF($A206&gt;PARAMETROS!$C$33,"",IF(C206&lt;70,PARAMETROS!$C$40,IF(C206&lt;75,PARAMETROS!$C$41,IF(C206&lt;80,PARAMETROS!$C$42,IF(C206&lt;85,PARAMETROS!$C$43,IF(C206&lt;90,PARAMETROS!$C$44,PARAMETROS!$C$45))))))</f>
        <v>0.000829538114346162</v>
      </c>
      <c r="N206" s="16" t="n">
        <f aca="false">IF($A206&gt;PARAMETROS!$C$33,"",K206+L206)</f>
        <v>72242.300479322</v>
      </c>
      <c r="O206" s="16" t="n">
        <f aca="false">IF($A206&gt;PARAMETROS!$C$33,"",I206+J206-N206)</f>
        <v>-16173.998277942</v>
      </c>
      <c r="P206" s="16" t="n">
        <f aca="false">IF($A206&gt;PARAMETROS!$C$33,"",MAX(E206+I206+J206-N206,0))</f>
        <v>77777.2354821483</v>
      </c>
      <c r="Q206" s="18" t="str">
        <f aca="false">IF($A206&gt;PARAMETROS!$C$33,"",IF(P206&lt;=0,"AGOTADO","OK"))</f>
        <v>OK</v>
      </c>
    </row>
    <row r="207" customFormat="false" ht="15" hidden="false" customHeight="false" outlineLevel="0" collapsed="false">
      <c r="A207" s="19" t="n">
        <f aca="false">A206+1</f>
        <v>205</v>
      </c>
      <c r="B207" s="19" t="n">
        <f aca="false">IF($A207="","",ROUNDUP($A207/12,0))</f>
        <v>18</v>
      </c>
      <c r="C207" s="19" t="n">
        <f aca="false">IF($A207="","",PARAMETROS!$C$6+INT(($A207-1)/12))</f>
        <v>82</v>
      </c>
      <c r="D207" s="19" t="n">
        <f aca="false">IF($A207="","",MOD($A207-1,12)+1)</f>
        <v>1</v>
      </c>
      <c r="E207" s="20" t="n">
        <f aca="false">IF($A207&gt;PARAMETROS!$C$33,"",P206)</f>
        <v>77777.2354821483</v>
      </c>
      <c r="F207" s="21" t="n">
        <f aca="false">IF($A207&gt;PARAMETROS!$C$33,"",PARAMETROS!$C$38)</f>
        <v>0.00495440818448101</v>
      </c>
      <c r="G207" s="20" t="n">
        <f aca="false">IF($A207&gt;PARAMETROS!$C$33,"",E207*F207)</f>
        <v>385.340172039062</v>
      </c>
      <c r="H207" s="20" t="n">
        <f aca="false">IF($A207&gt;PARAMETROS!$C$33,"",E207*PARAMETROS!$C$39)</f>
        <v>58.0936778572163</v>
      </c>
      <c r="I207" s="20" t="n">
        <f aca="false">IF($A207&gt;PARAMETROS!$C$33,"",G207-H207)</f>
        <v>327.246494181846</v>
      </c>
      <c r="J207" s="20" t="n">
        <f aca="false">IF($A207&gt;PARAMETROS!$C$33,"",PARAMETROS!$C$9*(1+PARAMETROS!$C$17)^(B207-1))</f>
        <v>57866.5202162423</v>
      </c>
      <c r="K207" s="20" t="n">
        <f aca="false">IF($A207&gt;PARAMETROS!$C$33,"",K206*(1+PARAMETROS!$C$36))</f>
        <v>51437.8268071494</v>
      </c>
      <c r="L207" s="20" t="n">
        <f aca="false">IF($A207&gt;PARAMETROS!$C$33,"",L206*(1+PARAMETROS!$C$37)*(1+M207))</f>
        <v>21080.3872789484</v>
      </c>
      <c r="M207" s="21" t="n">
        <f aca="false">IF($A207&gt;PARAMETROS!$C$33,"",IF(C207&lt;70,PARAMETROS!$C$40,IF(C207&lt;75,PARAMETROS!$C$41,IF(C207&lt;80,PARAMETROS!$C$42,IF(C207&lt;85,PARAMETROS!$C$43,IF(C207&lt;90,PARAMETROS!$C$44,PARAMETROS!$C$45))))))</f>
        <v>0.000829538114346162</v>
      </c>
      <c r="N207" s="20" t="n">
        <f aca="false">IF($A207&gt;PARAMETROS!$C$33,"",K207+L207)</f>
        <v>72518.2140860979</v>
      </c>
      <c r="O207" s="20" t="n">
        <f aca="false">IF($A207&gt;PARAMETROS!$C$33,"",I207+J207-N207)</f>
        <v>-14324.4473756737</v>
      </c>
      <c r="P207" s="20" t="n">
        <f aca="false">IF($A207&gt;PARAMETROS!$C$33,"",MAX(E207+I207+J207-N207,0))</f>
        <v>63452.7881064746</v>
      </c>
      <c r="Q207" s="22" t="str">
        <f aca="false">IF($A207&gt;PARAMETROS!$C$33,"",IF(P207&lt;=0,"AGOTADO","OK"))</f>
        <v>OK</v>
      </c>
    </row>
    <row r="208" customFormat="false" ht="15" hidden="false" customHeight="false" outlineLevel="0" collapsed="false">
      <c r="A208" s="19" t="n">
        <f aca="false">A207+1</f>
        <v>206</v>
      </c>
      <c r="B208" s="19" t="n">
        <f aca="false">IF($A208="","",ROUNDUP($A208/12,0))</f>
        <v>18</v>
      </c>
      <c r="C208" s="19" t="n">
        <f aca="false">IF($A208="","",PARAMETROS!$C$6+INT(($A208-1)/12))</f>
        <v>82</v>
      </c>
      <c r="D208" s="19" t="n">
        <f aca="false">IF($A208="","",MOD($A208-1,12)+1)</f>
        <v>2</v>
      </c>
      <c r="E208" s="20" t="n">
        <f aca="false">IF($A208&gt;PARAMETROS!$C$33,"",P207)</f>
        <v>63452.7881064746</v>
      </c>
      <c r="F208" s="21" t="n">
        <f aca="false">IF($A208&gt;PARAMETROS!$C$33,"",PARAMETROS!$C$38)</f>
        <v>0.00495440818448101</v>
      </c>
      <c r="G208" s="20" t="n">
        <f aca="false">IF($A208&gt;PARAMETROS!$C$33,"",E208*F208)</f>
        <v>314.371012722857</v>
      </c>
      <c r="H208" s="20" t="n">
        <f aca="false">IF($A208&gt;PARAMETROS!$C$33,"",E208*PARAMETROS!$C$39)</f>
        <v>47.3944054265829</v>
      </c>
      <c r="I208" s="20" t="n">
        <f aca="false">IF($A208&gt;PARAMETROS!$C$33,"",G208-H208)</f>
        <v>266.976607296274</v>
      </c>
      <c r="J208" s="20" t="n">
        <f aca="false">IF($A208&gt;PARAMETROS!$C$33,"",PARAMETROS!$C$9*(1+PARAMETROS!$C$17)^(B208-1))</f>
        <v>57866.5202162423</v>
      </c>
      <c r="K208" s="20" t="n">
        <f aca="false">IF($A208&gt;PARAMETROS!$C$33,"",K207*(1+PARAMETROS!$C$36))</f>
        <v>51614.0710123234</v>
      </c>
      <c r="L208" s="20" t="n">
        <f aca="false">IF($A208&gt;PARAMETROS!$C$33,"",L207*(1+PARAMETROS!$C$37)*(1+M208))</f>
        <v>21181.1377243054</v>
      </c>
      <c r="M208" s="21" t="n">
        <f aca="false">IF($A208&gt;PARAMETROS!$C$33,"",IF(C208&lt;70,PARAMETROS!$C$40,IF(C208&lt;75,PARAMETROS!$C$41,IF(C208&lt;80,PARAMETROS!$C$42,IF(C208&lt;85,PARAMETROS!$C$43,IF(C208&lt;90,PARAMETROS!$C$44,PARAMETROS!$C$45))))))</f>
        <v>0.000829538114346162</v>
      </c>
      <c r="N208" s="20" t="n">
        <f aca="false">IF($A208&gt;PARAMETROS!$C$33,"",K208+L208)</f>
        <v>72795.2087366288</v>
      </c>
      <c r="O208" s="20" t="n">
        <f aca="false">IF($A208&gt;PARAMETROS!$C$33,"",I208+J208-N208)</f>
        <v>-14661.7119130902</v>
      </c>
      <c r="P208" s="20" t="n">
        <f aca="false">IF($A208&gt;PARAMETROS!$C$33,"",MAX(E208+I208+J208-N208,0))</f>
        <v>48791.0761933844</v>
      </c>
      <c r="Q208" s="22" t="str">
        <f aca="false">IF($A208&gt;PARAMETROS!$C$33,"",IF(P208&lt;=0,"AGOTADO","OK"))</f>
        <v>OK</v>
      </c>
    </row>
    <row r="209" customFormat="false" ht="15" hidden="false" customHeight="false" outlineLevel="0" collapsed="false">
      <c r="A209" s="19" t="n">
        <f aca="false">A208+1</f>
        <v>207</v>
      </c>
      <c r="B209" s="19" t="n">
        <f aca="false">IF($A209="","",ROUNDUP($A209/12,0))</f>
        <v>18</v>
      </c>
      <c r="C209" s="19" t="n">
        <f aca="false">IF($A209="","",PARAMETROS!$C$6+INT(($A209-1)/12))</f>
        <v>82</v>
      </c>
      <c r="D209" s="19" t="n">
        <f aca="false">IF($A209="","",MOD($A209-1,12)+1)</f>
        <v>3</v>
      </c>
      <c r="E209" s="20" t="n">
        <f aca="false">IF($A209&gt;PARAMETROS!$C$33,"",P208)</f>
        <v>48791.0761933844</v>
      </c>
      <c r="F209" s="21" t="n">
        <f aca="false">IF($A209&gt;PARAMETROS!$C$33,"",PARAMETROS!$C$38)</f>
        <v>0.00495440818448101</v>
      </c>
      <c r="G209" s="20" t="n">
        <f aca="false">IF($A209&gt;PARAMETROS!$C$33,"",E209*F209)</f>
        <v>241.73090722214</v>
      </c>
      <c r="H209" s="20" t="n">
        <f aca="false">IF($A209&gt;PARAMETROS!$C$33,"",E209*PARAMETROS!$C$39)</f>
        <v>36.4432220445267</v>
      </c>
      <c r="I209" s="20" t="n">
        <f aca="false">IF($A209&gt;PARAMETROS!$C$33,"",G209-H209)</f>
        <v>205.287685177613</v>
      </c>
      <c r="J209" s="20" t="n">
        <f aca="false">IF($A209&gt;PARAMETROS!$C$33,"",PARAMETROS!$C$9*(1+PARAMETROS!$C$17)^(B209-1))</f>
        <v>57866.5202162423</v>
      </c>
      <c r="K209" s="20" t="n">
        <f aca="false">IF($A209&gt;PARAMETROS!$C$33,"",K208*(1+PARAMETROS!$C$36))</f>
        <v>51790.9190925401</v>
      </c>
      <c r="L209" s="20" t="n">
        <f aca="false">IF($A209&gt;PARAMETROS!$C$33,"",L208*(1+PARAMETROS!$C$37)*(1+M209))</f>
        <v>21282.3696908083</v>
      </c>
      <c r="M209" s="21" t="n">
        <f aca="false">IF($A209&gt;PARAMETROS!$C$33,"",IF(C209&lt;70,PARAMETROS!$C$40,IF(C209&lt;75,PARAMETROS!$C$41,IF(C209&lt;80,PARAMETROS!$C$42,IF(C209&lt;85,PARAMETROS!$C$43,IF(C209&lt;90,PARAMETROS!$C$44,PARAMETROS!$C$45))))))</f>
        <v>0.000829538114346162</v>
      </c>
      <c r="N209" s="20" t="n">
        <f aca="false">IF($A209&gt;PARAMETROS!$C$33,"",K209+L209)</f>
        <v>73073.2887833483</v>
      </c>
      <c r="O209" s="20" t="n">
        <f aca="false">IF($A209&gt;PARAMETROS!$C$33,"",I209+J209-N209)</f>
        <v>-15001.4808819284</v>
      </c>
      <c r="P209" s="20" t="n">
        <f aca="false">IF($A209&gt;PARAMETROS!$C$33,"",MAX(E209+I209+J209-N209,0))</f>
        <v>33789.595311456</v>
      </c>
      <c r="Q209" s="22" t="str">
        <f aca="false">IF($A209&gt;PARAMETROS!$C$33,"",IF(P209&lt;=0,"AGOTADO","OK"))</f>
        <v>OK</v>
      </c>
    </row>
    <row r="210" customFormat="false" ht="15" hidden="false" customHeight="false" outlineLevel="0" collapsed="false">
      <c r="A210" s="19" t="n">
        <f aca="false">A209+1</f>
        <v>208</v>
      </c>
      <c r="B210" s="19" t="n">
        <f aca="false">IF($A210="","",ROUNDUP($A210/12,0))</f>
        <v>18</v>
      </c>
      <c r="C210" s="19" t="n">
        <f aca="false">IF($A210="","",PARAMETROS!$C$6+INT(($A210-1)/12))</f>
        <v>82</v>
      </c>
      <c r="D210" s="19" t="n">
        <f aca="false">IF($A210="","",MOD($A210-1,12)+1)</f>
        <v>4</v>
      </c>
      <c r="E210" s="20" t="n">
        <f aca="false">IF($A210&gt;PARAMETROS!$C$33,"",P209)</f>
        <v>33789.595311456</v>
      </c>
      <c r="F210" s="21" t="n">
        <f aca="false">IF($A210&gt;PARAMETROS!$C$33,"",PARAMETROS!$C$38)</f>
        <v>0.00495440818448101</v>
      </c>
      <c r="G210" s="20" t="n">
        <f aca="false">IF($A210&gt;PARAMETROS!$C$33,"",E210*F210)</f>
        <v>167.407447561379</v>
      </c>
      <c r="H210" s="20" t="n">
        <f aca="false">IF($A210&gt;PARAMETROS!$C$33,"",E210*PARAMETROS!$C$39)</f>
        <v>25.2382570913051</v>
      </c>
      <c r="I210" s="20" t="n">
        <f aca="false">IF($A210&gt;PARAMETROS!$C$33,"",G210-H210)</f>
        <v>142.169190470074</v>
      </c>
      <c r="J210" s="20" t="n">
        <f aca="false">IF($A210&gt;PARAMETROS!$C$33,"",PARAMETROS!$C$9*(1+PARAMETROS!$C$17)^(B210-1))</f>
        <v>57866.5202162423</v>
      </c>
      <c r="K210" s="20" t="n">
        <f aca="false">IF($A210&gt;PARAMETROS!$C$33,"",K209*(1+PARAMETROS!$C$36))</f>
        <v>51968.3731168891</v>
      </c>
      <c r="L210" s="20" t="n">
        <f aca="false">IF($A210&gt;PARAMETROS!$C$33,"",L209*(1+PARAMETROS!$C$37)*(1+M210))</f>
        <v>21384.0854798128</v>
      </c>
      <c r="M210" s="21" t="n">
        <f aca="false">IF($A210&gt;PARAMETROS!$C$33,"",IF(C210&lt;70,PARAMETROS!$C$40,IF(C210&lt;75,PARAMETROS!$C$41,IF(C210&lt;80,PARAMETROS!$C$42,IF(C210&lt;85,PARAMETROS!$C$43,IF(C210&lt;90,PARAMETROS!$C$44,PARAMETROS!$C$45))))))</f>
        <v>0.000829538114346162</v>
      </c>
      <c r="N210" s="20" t="n">
        <f aca="false">IF($A210&gt;PARAMETROS!$C$33,"",K210+L210)</f>
        <v>73352.4585967019</v>
      </c>
      <c r="O210" s="20" t="n">
        <f aca="false">IF($A210&gt;PARAMETROS!$C$33,"",I210+J210-N210)</f>
        <v>-15343.7691899895</v>
      </c>
      <c r="P210" s="20" t="n">
        <f aca="false">IF($A210&gt;PARAMETROS!$C$33,"",MAX(E210+I210+J210-N210,0))</f>
        <v>18445.8261214665</v>
      </c>
      <c r="Q210" s="22" t="str">
        <f aca="false">IF($A210&gt;PARAMETROS!$C$33,"",IF(P210&lt;=0,"AGOTADO","OK"))</f>
        <v>OK</v>
      </c>
    </row>
    <row r="211" customFormat="false" ht="15" hidden="false" customHeight="false" outlineLevel="0" collapsed="false">
      <c r="A211" s="19" t="n">
        <f aca="false">A210+1</f>
        <v>209</v>
      </c>
      <c r="B211" s="19" t="n">
        <f aca="false">IF($A211="","",ROUNDUP($A211/12,0))</f>
        <v>18</v>
      </c>
      <c r="C211" s="19" t="n">
        <f aca="false">IF($A211="","",PARAMETROS!$C$6+INT(($A211-1)/12))</f>
        <v>82</v>
      </c>
      <c r="D211" s="19" t="n">
        <f aca="false">IF($A211="","",MOD($A211-1,12)+1)</f>
        <v>5</v>
      </c>
      <c r="E211" s="20" t="n">
        <f aca="false">IF($A211&gt;PARAMETROS!$C$33,"",P210)</f>
        <v>18445.8261214665</v>
      </c>
      <c r="F211" s="21" t="n">
        <f aca="false">IF($A211&gt;PARAMETROS!$C$33,"",PARAMETROS!$C$38)</f>
        <v>0.00495440818448101</v>
      </c>
      <c r="G211" s="20" t="n">
        <f aca="false">IF($A211&gt;PARAMETROS!$C$33,"",E211*F211)</f>
        <v>91.3881519057072</v>
      </c>
      <c r="H211" s="20" t="n">
        <f aca="false">IF($A211&gt;PARAMETROS!$C$33,"",E211*PARAMETROS!$C$39)</f>
        <v>13.7776288121819</v>
      </c>
      <c r="I211" s="20" t="n">
        <f aca="false">IF($A211&gt;PARAMETROS!$C$33,"",G211-H211)</f>
        <v>77.6105230935253</v>
      </c>
      <c r="J211" s="20" t="n">
        <f aca="false">IF($A211&gt;PARAMETROS!$C$33,"",PARAMETROS!$C$9*(1+PARAMETROS!$C$17)^(B211-1))</f>
        <v>57866.5202162423</v>
      </c>
      <c r="K211" s="20" t="n">
        <f aca="false">IF($A211&gt;PARAMETROS!$C$33,"",K210*(1+PARAMETROS!$C$36))</f>
        <v>52146.4351615495</v>
      </c>
      <c r="L211" s="20" t="n">
        <f aca="false">IF($A211&gt;PARAMETROS!$C$33,"",L210*(1+PARAMETROS!$C$37)*(1+M211))</f>
        <v>21486.2874036738</v>
      </c>
      <c r="M211" s="21" t="n">
        <f aca="false">IF($A211&gt;PARAMETROS!$C$33,"",IF(C211&lt;70,PARAMETROS!$C$40,IF(C211&lt;75,PARAMETROS!$C$41,IF(C211&lt;80,PARAMETROS!$C$42,IF(C211&lt;85,PARAMETROS!$C$43,IF(C211&lt;90,PARAMETROS!$C$44,PARAMETROS!$C$45))))))</f>
        <v>0.000829538114346162</v>
      </c>
      <c r="N211" s="20" t="n">
        <f aca="false">IF($A211&gt;PARAMETROS!$C$33,"",K211+L211)</f>
        <v>73632.7225652233</v>
      </c>
      <c r="O211" s="20" t="n">
        <f aca="false">IF($A211&gt;PARAMETROS!$C$33,"",I211+J211-N211)</f>
        <v>-15688.5918258874</v>
      </c>
      <c r="P211" s="20" t="n">
        <f aca="false">IF($A211&gt;PARAMETROS!$C$33,"",MAX(E211+I211+J211-N211,0))</f>
        <v>2757.23429557907</v>
      </c>
      <c r="Q211" s="22" t="str">
        <f aca="false">IF($A211&gt;PARAMETROS!$C$33,"",IF(P211&lt;=0,"AGOTADO","OK"))</f>
        <v>OK</v>
      </c>
    </row>
    <row r="212" customFormat="false" ht="15" hidden="false" customHeight="false" outlineLevel="0" collapsed="false">
      <c r="A212" s="19" t="n">
        <f aca="false">A211+1</f>
        <v>210</v>
      </c>
      <c r="B212" s="19" t="n">
        <f aca="false">IF($A212="","",ROUNDUP($A212/12,0))</f>
        <v>18</v>
      </c>
      <c r="C212" s="19" t="n">
        <f aca="false">IF($A212="","",PARAMETROS!$C$6+INT(($A212-1)/12))</f>
        <v>82</v>
      </c>
      <c r="D212" s="19" t="n">
        <f aca="false">IF($A212="","",MOD($A212-1,12)+1)</f>
        <v>6</v>
      </c>
      <c r="E212" s="20" t="n">
        <f aca="false">IF($A212&gt;PARAMETROS!$C$33,"",P211)</f>
        <v>2757.23429557907</v>
      </c>
      <c r="F212" s="21" t="n">
        <f aca="false">IF($A212&gt;PARAMETROS!$C$33,"",PARAMETROS!$C$38)</f>
        <v>0.00495440818448101</v>
      </c>
      <c r="G212" s="20" t="n">
        <f aca="false">IF($A212&gt;PARAMETROS!$C$33,"",E212*F212)</f>
        <v>13.6604641605487</v>
      </c>
      <c r="H212" s="20" t="n">
        <f aca="false">IF($A212&gt;PARAMETROS!$C$33,"",E212*PARAMETROS!$C$39)</f>
        <v>2.05944425706676</v>
      </c>
      <c r="I212" s="20" t="n">
        <f aca="false">IF($A212&gt;PARAMETROS!$C$33,"",G212-H212)</f>
        <v>11.6010199034819</v>
      </c>
      <c r="J212" s="20" t="n">
        <f aca="false">IF($A212&gt;PARAMETROS!$C$33,"",PARAMETROS!$C$9*(1+PARAMETROS!$C$17)^(B212-1))</f>
        <v>57866.5202162423</v>
      </c>
      <c r="K212" s="20" t="n">
        <f aca="false">IF($A212&gt;PARAMETROS!$C$33,"",K211*(1+PARAMETROS!$C$36))</f>
        <v>52325.1073098143</v>
      </c>
      <c r="L212" s="20" t="n">
        <f aca="false">IF($A212&gt;PARAMETROS!$C$33,"",L211*(1+PARAMETROS!$C$37)*(1+M212))</f>
        <v>21588.9777857973</v>
      </c>
      <c r="M212" s="21" t="n">
        <f aca="false">IF($A212&gt;PARAMETROS!$C$33,"",IF(C212&lt;70,PARAMETROS!$C$40,IF(C212&lt;75,PARAMETROS!$C$41,IF(C212&lt;80,PARAMETROS!$C$42,IF(C212&lt;85,PARAMETROS!$C$43,IF(C212&lt;90,PARAMETROS!$C$44,PARAMETROS!$C$45))))))</f>
        <v>0.000829538114346162</v>
      </c>
      <c r="N212" s="20" t="n">
        <f aca="false">IF($A212&gt;PARAMETROS!$C$33,"",K212+L212)</f>
        <v>73914.0850956116</v>
      </c>
      <c r="O212" s="20" t="n">
        <f aca="false">IF($A212&gt;PARAMETROS!$C$33,"",I212+J212-N212)</f>
        <v>-16035.9638594658</v>
      </c>
      <c r="P212" s="20" t="n">
        <f aca="false">IF($A212&gt;PARAMETROS!$C$33,"",MAX(E212+I212+J212-N212,0))</f>
        <v>0</v>
      </c>
      <c r="Q212" s="22" t="str">
        <f aca="false">IF($A212&gt;PARAMETROS!$C$33,"",IF(P212&lt;=0,"AGOTADO","OK"))</f>
        <v>AGOTADO</v>
      </c>
    </row>
    <row r="213" customFormat="false" ht="15" hidden="false" customHeight="false" outlineLevel="0" collapsed="false">
      <c r="A213" s="19" t="n">
        <f aca="false">A212+1</f>
        <v>211</v>
      </c>
      <c r="B213" s="19" t="n">
        <f aca="false">IF($A213="","",ROUNDUP($A213/12,0))</f>
        <v>18</v>
      </c>
      <c r="C213" s="19" t="n">
        <f aca="false">IF($A213="","",PARAMETROS!$C$6+INT(($A213-1)/12))</f>
        <v>82</v>
      </c>
      <c r="D213" s="19" t="n">
        <f aca="false">IF($A213="","",MOD($A213-1,12)+1)</f>
        <v>7</v>
      </c>
      <c r="E213" s="20" t="n">
        <f aca="false">IF($A213&gt;PARAMETROS!$C$33,"",P212)</f>
        <v>0</v>
      </c>
      <c r="F213" s="21" t="n">
        <f aca="false">IF($A213&gt;PARAMETROS!$C$33,"",PARAMETROS!$C$38)</f>
        <v>0.00495440818448101</v>
      </c>
      <c r="G213" s="20" t="n">
        <f aca="false">IF($A213&gt;PARAMETROS!$C$33,"",E213*F213)</f>
        <v>0</v>
      </c>
      <c r="H213" s="20" t="n">
        <f aca="false">IF($A213&gt;PARAMETROS!$C$33,"",E213*PARAMETROS!$C$39)</f>
        <v>0</v>
      </c>
      <c r="I213" s="20" t="n">
        <f aca="false">IF($A213&gt;PARAMETROS!$C$33,"",G213-H213)</f>
        <v>0</v>
      </c>
      <c r="J213" s="20" t="n">
        <f aca="false">IF($A213&gt;PARAMETROS!$C$33,"",PARAMETROS!$C$9*(1+PARAMETROS!$C$17)^(B213-1))</f>
        <v>57866.5202162423</v>
      </c>
      <c r="K213" s="20" t="n">
        <f aca="false">IF($A213&gt;PARAMETROS!$C$33,"",K212*(1+PARAMETROS!$C$36))</f>
        <v>52504.3916521143</v>
      </c>
      <c r="L213" s="20" t="n">
        <f aca="false">IF($A213&gt;PARAMETROS!$C$33,"",L212*(1+PARAMETROS!$C$37)*(1+M213))</f>
        <v>21692.158960694</v>
      </c>
      <c r="M213" s="21" t="n">
        <f aca="false">IF($A213&gt;PARAMETROS!$C$33,"",IF(C213&lt;70,PARAMETROS!$C$40,IF(C213&lt;75,PARAMETROS!$C$41,IF(C213&lt;80,PARAMETROS!$C$42,IF(C213&lt;85,PARAMETROS!$C$43,IF(C213&lt;90,PARAMETROS!$C$44,PARAMETROS!$C$45))))))</f>
        <v>0.000829538114346162</v>
      </c>
      <c r="N213" s="20" t="n">
        <f aca="false">IF($A213&gt;PARAMETROS!$C$33,"",K213+L213)</f>
        <v>74196.5506128084</v>
      </c>
      <c r="O213" s="20" t="n">
        <f aca="false">IF($A213&gt;PARAMETROS!$C$33,"",I213+J213-N213)</f>
        <v>-16330.030396566</v>
      </c>
      <c r="P213" s="20" t="n">
        <f aca="false">IF($A213&gt;PARAMETROS!$C$33,"",MAX(E213+I213+J213-N213,0))</f>
        <v>0</v>
      </c>
      <c r="Q213" s="22" t="str">
        <f aca="false">IF($A213&gt;PARAMETROS!$C$33,"",IF(P213&lt;=0,"AGOTADO","OK"))</f>
        <v>AGOTADO</v>
      </c>
    </row>
    <row r="214" customFormat="false" ht="15" hidden="false" customHeight="false" outlineLevel="0" collapsed="false">
      <c r="A214" s="19" t="n">
        <f aca="false">A213+1</f>
        <v>212</v>
      </c>
      <c r="B214" s="19" t="n">
        <f aca="false">IF($A214="","",ROUNDUP($A214/12,0))</f>
        <v>18</v>
      </c>
      <c r="C214" s="19" t="n">
        <f aca="false">IF($A214="","",PARAMETROS!$C$6+INT(($A214-1)/12))</f>
        <v>82</v>
      </c>
      <c r="D214" s="19" t="n">
        <f aca="false">IF($A214="","",MOD($A214-1,12)+1)</f>
        <v>8</v>
      </c>
      <c r="E214" s="20" t="n">
        <f aca="false">IF($A214&gt;PARAMETROS!$C$33,"",P213)</f>
        <v>0</v>
      </c>
      <c r="F214" s="21" t="n">
        <f aca="false">IF($A214&gt;PARAMETROS!$C$33,"",PARAMETROS!$C$38)</f>
        <v>0.00495440818448101</v>
      </c>
      <c r="G214" s="20" t="n">
        <f aca="false">IF($A214&gt;PARAMETROS!$C$33,"",E214*F214)</f>
        <v>0</v>
      </c>
      <c r="H214" s="20" t="n">
        <f aca="false">IF($A214&gt;PARAMETROS!$C$33,"",E214*PARAMETROS!$C$39)</f>
        <v>0</v>
      </c>
      <c r="I214" s="20" t="n">
        <f aca="false">IF($A214&gt;PARAMETROS!$C$33,"",G214-H214)</f>
        <v>0</v>
      </c>
      <c r="J214" s="20" t="n">
        <f aca="false">IF($A214&gt;PARAMETROS!$C$33,"",PARAMETROS!$C$9*(1+PARAMETROS!$C$17)^(B214-1))</f>
        <v>57866.5202162423</v>
      </c>
      <c r="K214" s="20" t="n">
        <f aca="false">IF($A214&gt;PARAMETROS!$C$33,"",K213*(1+PARAMETROS!$C$36))</f>
        <v>52684.2902860431</v>
      </c>
      <c r="L214" s="20" t="n">
        <f aca="false">IF($A214&gt;PARAMETROS!$C$33,"",L213*(1+PARAMETROS!$C$37)*(1+M214))</f>
        <v>21795.833274032</v>
      </c>
      <c r="M214" s="21" t="n">
        <f aca="false">IF($A214&gt;PARAMETROS!$C$33,"",IF(C214&lt;70,PARAMETROS!$C$40,IF(C214&lt;75,PARAMETROS!$C$41,IF(C214&lt;80,PARAMETROS!$C$42,IF(C214&lt;85,PARAMETROS!$C$43,IF(C214&lt;90,PARAMETROS!$C$44,PARAMETROS!$C$45))))))</f>
        <v>0.000829538114346162</v>
      </c>
      <c r="N214" s="20" t="n">
        <f aca="false">IF($A214&gt;PARAMETROS!$C$33,"",K214+L214)</f>
        <v>74480.1235600751</v>
      </c>
      <c r="O214" s="20" t="n">
        <f aca="false">IF($A214&gt;PARAMETROS!$C$33,"",I214+J214-N214)</f>
        <v>-16613.6033438328</v>
      </c>
      <c r="P214" s="20" t="n">
        <f aca="false">IF($A214&gt;PARAMETROS!$C$33,"",MAX(E214+I214+J214-N214,0))</f>
        <v>0</v>
      </c>
      <c r="Q214" s="22" t="str">
        <f aca="false">IF($A214&gt;PARAMETROS!$C$33,"",IF(P214&lt;=0,"AGOTADO","OK"))</f>
        <v>AGOTADO</v>
      </c>
    </row>
    <row r="215" customFormat="false" ht="15" hidden="false" customHeight="false" outlineLevel="0" collapsed="false">
      <c r="A215" s="19" t="n">
        <f aca="false">A214+1</f>
        <v>213</v>
      </c>
      <c r="B215" s="19" t="n">
        <f aca="false">IF($A215="","",ROUNDUP($A215/12,0))</f>
        <v>18</v>
      </c>
      <c r="C215" s="19" t="n">
        <f aca="false">IF($A215="","",PARAMETROS!$C$6+INT(($A215-1)/12))</f>
        <v>82</v>
      </c>
      <c r="D215" s="19" t="n">
        <f aca="false">IF($A215="","",MOD($A215-1,12)+1)</f>
        <v>9</v>
      </c>
      <c r="E215" s="20" t="n">
        <f aca="false">IF($A215&gt;PARAMETROS!$C$33,"",P214)</f>
        <v>0</v>
      </c>
      <c r="F215" s="21" t="n">
        <f aca="false">IF($A215&gt;PARAMETROS!$C$33,"",PARAMETROS!$C$38)</f>
        <v>0.00495440818448101</v>
      </c>
      <c r="G215" s="20" t="n">
        <f aca="false">IF($A215&gt;PARAMETROS!$C$33,"",E215*F215)</f>
        <v>0</v>
      </c>
      <c r="H215" s="20" t="n">
        <f aca="false">IF($A215&gt;PARAMETROS!$C$33,"",E215*PARAMETROS!$C$39)</f>
        <v>0</v>
      </c>
      <c r="I215" s="20" t="n">
        <f aca="false">IF($A215&gt;PARAMETROS!$C$33,"",G215-H215)</f>
        <v>0</v>
      </c>
      <c r="J215" s="20" t="n">
        <f aca="false">IF($A215&gt;PARAMETROS!$C$33,"",PARAMETROS!$C$9*(1+PARAMETROS!$C$17)^(B215-1))</f>
        <v>57866.5202162423</v>
      </c>
      <c r="K215" s="20" t="n">
        <f aca="false">IF($A215&gt;PARAMETROS!$C$33,"",K214*(1+PARAMETROS!$C$36))</f>
        <v>52864.8053163812</v>
      </c>
      <c r="L215" s="20" t="n">
        <f aca="false">IF($A215&gt;PARAMETROS!$C$33,"",L214*(1+PARAMETROS!$C$37)*(1+M215))</f>
        <v>21900.00308269</v>
      </c>
      <c r="M215" s="21" t="n">
        <f aca="false">IF($A215&gt;PARAMETROS!$C$33,"",IF(C215&lt;70,PARAMETROS!$C$40,IF(C215&lt;75,PARAMETROS!$C$41,IF(C215&lt;80,PARAMETROS!$C$42,IF(C215&lt;85,PARAMETROS!$C$43,IF(C215&lt;90,PARAMETROS!$C$44,PARAMETROS!$C$45))))))</f>
        <v>0.000829538114346162</v>
      </c>
      <c r="N215" s="20" t="n">
        <f aca="false">IF($A215&gt;PARAMETROS!$C$33,"",K215+L215)</f>
        <v>74764.8083990712</v>
      </c>
      <c r="O215" s="20" t="n">
        <f aca="false">IF($A215&gt;PARAMETROS!$C$33,"",I215+J215-N215)</f>
        <v>-16898.2881828289</v>
      </c>
      <c r="P215" s="20" t="n">
        <f aca="false">IF($A215&gt;PARAMETROS!$C$33,"",MAX(E215+I215+J215-N215,0))</f>
        <v>0</v>
      </c>
      <c r="Q215" s="22" t="str">
        <f aca="false">IF($A215&gt;PARAMETROS!$C$33,"",IF(P215&lt;=0,"AGOTADO","OK"))</f>
        <v>AGOTADO</v>
      </c>
    </row>
    <row r="216" customFormat="false" ht="15" hidden="false" customHeight="false" outlineLevel="0" collapsed="false">
      <c r="A216" s="19" t="n">
        <f aca="false">A215+1</f>
        <v>214</v>
      </c>
      <c r="B216" s="19" t="n">
        <f aca="false">IF($A216="","",ROUNDUP($A216/12,0))</f>
        <v>18</v>
      </c>
      <c r="C216" s="19" t="n">
        <f aca="false">IF($A216="","",PARAMETROS!$C$6+INT(($A216-1)/12))</f>
        <v>82</v>
      </c>
      <c r="D216" s="19" t="n">
        <f aca="false">IF($A216="","",MOD($A216-1,12)+1)</f>
        <v>10</v>
      </c>
      <c r="E216" s="20" t="n">
        <f aca="false">IF($A216&gt;PARAMETROS!$C$33,"",P215)</f>
        <v>0</v>
      </c>
      <c r="F216" s="21" t="n">
        <f aca="false">IF($A216&gt;PARAMETROS!$C$33,"",PARAMETROS!$C$38)</f>
        <v>0.00495440818448101</v>
      </c>
      <c r="G216" s="20" t="n">
        <f aca="false">IF($A216&gt;PARAMETROS!$C$33,"",E216*F216)</f>
        <v>0</v>
      </c>
      <c r="H216" s="20" t="n">
        <f aca="false">IF($A216&gt;PARAMETROS!$C$33,"",E216*PARAMETROS!$C$39)</f>
        <v>0</v>
      </c>
      <c r="I216" s="20" t="n">
        <f aca="false">IF($A216&gt;PARAMETROS!$C$33,"",G216-H216)</f>
        <v>0</v>
      </c>
      <c r="J216" s="20" t="n">
        <f aca="false">IF($A216&gt;PARAMETROS!$C$33,"",PARAMETROS!$C$9*(1+PARAMETROS!$C$17)^(B216-1))</f>
        <v>57866.5202162423</v>
      </c>
      <c r="K216" s="20" t="n">
        <f aca="false">IF($A216&gt;PARAMETROS!$C$33,"",K215*(1+PARAMETROS!$C$36))</f>
        <v>53045.938855121</v>
      </c>
      <c r="L216" s="20" t="n">
        <f aca="false">IF($A216&gt;PARAMETROS!$C$33,"",L215*(1+PARAMETROS!$C$37)*(1+M216))</f>
        <v>22004.6707548111</v>
      </c>
      <c r="M216" s="21" t="n">
        <f aca="false">IF($A216&gt;PARAMETROS!$C$33,"",IF(C216&lt;70,PARAMETROS!$C$40,IF(C216&lt;75,PARAMETROS!$C$41,IF(C216&lt;80,PARAMETROS!$C$42,IF(C216&lt;85,PARAMETROS!$C$43,IF(C216&lt;90,PARAMETROS!$C$44,PARAMETROS!$C$45))))))</f>
        <v>0.000829538114346162</v>
      </c>
      <c r="N216" s="20" t="n">
        <f aca="false">IF($A216&gt;PARAMETROS!$C$33,"",K216+L216)</f>
        <v>75050.6096099322</v>
      </c>
      <c r="O216" s="20" t="n">
        <f aca="false">IF($A216&gt;PARAMETROS!$C$33,"",I216+J216-N216)</f>
        <v>-17184.0893936898</v>
      </c>
      <c r="P216" s="20" t="n">
        <f aca="false">IF($A216&gt;PARAMETROS!$C$33,"",MAX(E216+I216+J216-N216,0))</f>
        <v>0</v>
      </c>
      <c r="Q216" s="22" t="str">
        <f aca="false">IF($A216&gt;PARAMETROS!$C$33,"",IF(P216&lt;=0,"AGOTADO","OK"))</f>
        <v>AGOTADO</v>
      </c>
    </row>
    <row r="217" customFormat="false" ht="15" hidden="false" customHeight="false" outlineLevel="0" collapsed="false">
      <c r="A217" s="19" t="n">
        <f aca="false">A216+1</f>
        <v>215</v>
      </c>
      <c r="B217" s="19" t="n">
        <f aca="false">IF($A217="","",ROUNDUP($A217/12,0))</f>
        <v>18</v>
      </c>
      <c r="C217" s="19" t="n">
        <f aca="false">IF($A217="","",PARAMETROS!$C$6+INT(($A217-1)/12))</f>
        <v>82</v>
      </c>
      <c r="D217" s="19" t="n">
        <f aca="false">IF($A217="","",MOD($A217-1,12)+1)</f>
        <v>11</v>
      </c>
      <c r="E217" s="20" t="n">
        <f aca="false">IF($A217&gt;PARAMETROS!$C$33,"",P216)</f>
        <v>0</v>
      </c>
      <c r="F217" s="21" t="n">
        <f aca="false">IF($A217&gt;PARAMETROS!$C$33,"",PARAMETROS!$C$38)</f>
        <v>0.00495440818448101</v>
      </c>
      <c r="G217" s="20" t="n">
        <f aca="false">IF($A217&gt;PARAMETROS!$C$33,"",E217*F217)</f>
        <v>0</v>
      </c>
      <c r="H217" s="20" t="n">
        <f aca="false">IF($A217&gt;PARAMETROS!$C$33,"",E217*PARAMETROS!$C$39)</f>
        <v>0</v>
      </c>
      <c r="I217" s="20" t="n">
        <f aca="false">IF($A217&gt;PARAMETROS!$C$33,"",G217-H217)</f>
        <v>0</v>
      </c>
      <c r="J217" s="20" t="n">
        <f aca="false">IF($A217&gt;PARAMETROS!$C$33,"",PARAMETROS!$C$9*(1+PARAMETROS!$C$17)^(B217-1))</f>
        <v>57866.5202162423</v>
      </c>
      <c r="K217" s="20" t="n">
        <f aca="false">IF($A217&gt;PARAMETROS!$C$33,"",K216*(1+PARAMETROS!$C$36))</f>
        <v>53227.6930214912</v>
      </c>
      <c r="L217" s="20" t="n">
        <f aca="false">IF($A217&gt;PARAMETROS!$C$33,"",L216*(1+PARAMETROS!$C$37)*(1+M217))</f>
        <v>22109.8386698567</v>
      </c>
      <c r="M217" s="21" t="n">
        <f aca="false">IF($A217&gt;PARAMETROS!$C$33,"",IF(C217&lt;70,PARAMETROS!$C$40,IF(C217&lt;75,PARAMETROS!$C$41,IF(C217&lt;80,PARAMETROS!$C$42,IF(C217&lt;85,PARAMETROS!$C$43,IF(C217&lt;90,PARAMETROS!$C$44,PARAMETROS!$C$45))))))</f>
        <v>0.000829538114346162</v>
      </c>
      <c r="N217" s="20" t="n">
        <f aca="false">IF($A217&gt;PARAMETROS!$C$33,"",K217+L217)</f>
        <v>75337.531691348</v>
      </c>
      <c r="O217" s="20" t="n">
        <f aca="false">IF($A217&gt;PARAMETROS!$C$33,"",I217+J217-N217)</f>
        <v>-17471.0114751056</v>
      </c>
      <c r="P217" s="20" t="n">
        <f aca="false">IF($A217&gt;PARAMETROS!$C$33,"",MAX(E217+I217+J217-N217,0))</f>
        <v>0</v>
      </c>
      <c r="Q217" s="22" t="str">
        <f aca="false">IF($A217&gt;PARAMETROS!$C$33,"",IF(P217&lt;=0,"AGOTADO","OK"))</f>
        <v>AGOTADO</v>
      </c>
    </row>
    <row r="218" customFormat="false" ht="15" hidden="false" customHeight="false" outlineLevel="0" collapsed="false">
      <c r="A218" s="19" t="n">
        <f aca="false">A217+1</f>
        <v>216</v>
      </c>
      <c r="B218" s="19" t="n">
        <f aca="false">IF($A218="","",ROUNDUP($A218/12,0))</f>
        <v>18</v>
      </c>
      <c r="C218" s="19" t="n">
        <f aca="false">IF($A218="","",PARAMETROS!$C$6+INT(($A218-1)/12))</f>
        <v>82</v>
      </c>
      <c r="D218" s="19" t="n">
        <f aca="false">IF($A218="","",MOD($A218-1,12)+1)</f>
        <v>12</v>
      </c>
      <c r="E218" s="20" t="n">
        <f aca="false">IF($A218&gt;PARAMETROS!$C$33,"",P217)</f>
        <v>0</v>
      </c>
      <c r="F218" s="21" t="n">
        <f aca="false">IF($A218&gt;PARAMETROS!$C$33,"",PARAMETROS!$C$38)</f>
        <v>0.00495440818448101</v>
      </c>
      <c r="G218" s="20" t="n">
        <f aca="false">IF($A218&gt;PARAMETROS!$C$33,"",E218*F218)</f>
        <v>0</v>
      </c>
      <c r="H218" s="20" t="n">
        <f aca="false">IF($A218&gt;PARAMETROS!$C$33,"",E218*PARAMETROS!$C$39)</f>
        <v>0</v>
      </c>
      <c r="I218" s="20" t="n">
        <f aca="false">IF($A218&gt;PARAMETROS!$C$33,"",G218-H218)</f>
        <v>0</v>
      </c>
      <c r="J218" s="20" t="n">
        <f aca="false">IF($A218&gt;PARAMETROS!$C$33,"",PARAMETROS!$C$9*(1+PARAMETROS!$C$17)^(B218-1))</f>
        <v>57866.5202162423</v>
      </c>
      <c r="K218" s="20" t="n">
        <f aca="false">IF($A218&gt;PARAMETROS!$C$33,"",K217*(1+PARAMETROS!$C$36))</f>
        <v>53410.0699419819</v>
      </c>
      <c r="L218" s="20" t="n">
        <f aca="false">IF($A218&gt;PARAMETROS!$C$33,"",L217*(1+PARAMETROS!$C$37)*(1+M218))</f>
        <v>22215.5092186603</v>
      </c>
      <c r="M218" s="21" t="n">
        <f aca="false">IF($A218&gt;PARAMETROS!$C$33,"",IF(C218&lt;70,PARAMETROS!$C$40,IF(C218&lt;75,PARAMETROS!$C$41,IF(C218&lt;80,PARAMETROS!$C$42,IF(C218&lt;85,PARAMETROS!$C$43,IF(C218&lt;90,PARAMETROS!$C$44,PARAMETROS!$C$45))))))</f>
        <v>0.000829538114346162</v>
      </c>
      <c r="N218" s="20" t="n">
        <f aca="false">IF($A218&gt;PARAMETROS!$C$33,"",K218+L218)</f>
        <v>75625.5791606421</v>
      </c>
      <c r="O218" s="20" t="n">
        <f aca="false">IF($A218&gt;PARAMETROS!$C$33,"",I218+J218-N218)</f>
        <v>-17759.0589443998</v>
      </c>
      <c r="P218" s="20" t="n">
        <f aca="false">IF($A218&gt;PARAMETROS!$C$33,"",MAX(E218+I218+J218-N218,0))</f>
        <v>0</v>
      </c>
      <c r="Q218" s="22" t="str">
        <f aca="false">IF($A218&gt;PARAMETROS!$C$33,"",IF(P218&lt;=0,"AGOTADO","OK"))</f>
        <v>AGOTADO</v>
      </c>
    </row>
    <row r="219" customFormat="false" ht="15" hidden="false" customHeight="false" outlineLevel="0" collapsed="false">
      <c r="A219" s="15" t="n">
        <f aca="false">A218+1</f>
        <v>217</v>
      </c>
      <c r="B219" s="15" t="n">
        <f aca="false">IF($A219="","",ROUNDUP($A219/12,0))</f>
        <v>19</v>
      </c>
      <c r="C219" s="15" t="n">
        <f aca="false">IF($A219="","",PARAMETROS!$C$6+INT(($A219-1)/12))</f>
        <v>83</v>
      </c>
      <c r="D219" s="15" t="n">
        <f aca="false">IF($A219="","",MOD($A219-1,12)+1)</f>
        <v>1</v>
      </c>
      <c r="E219" s="16" t="n">
        <f aca="false">IF($A219&gt;PARAMETROS!$C$33,"",P218)</f>
        <v>0</v>
      </c>
      <c r="F219" s="17" t="n">
        <f aca="false">IF($A219&gt;PARAMETROS!$C$33,"",PARAMETROS!$C$38)</f>
        <v>0.00495440818448101</v>
      </c>
      <c r="G219" s="16" t="n">
        <f aca="false">IF($A219&gt;PARAMETROS!$C$33,"",E219*F219)</f>
        <v>0</v>
      </c>
      <c r="H219" s="16" t="n">
        <f aca="false">IF($A219&gt;PARAMETROS!$C$33,"",E219*PARAMETROS!$C$39)</f>
        <v>0</v>
      </c>
      <c r="I219" s="16" t="n">
        <f aca="false">IF($A219&gt;PARAMETROS!$C$33,"",G219-H219)</f>
        <v>0</v>
      </c>
      <c r="J219" s="16" t="n">
        <f aca="false">IF($A219&gt;PARAMETROS!$C$33,"",PARAMETROS!$C$9*(1+PARAMETROS!$C$17)^(B219-1))</f>
        <v>60146.4611127623</v>
      </c>
      <c r="K219" s="16" t="n">
        <f aca="false">IF($A219&gt;PARAMETROS!$C$33,"",K218*(1+PARAMETROS!$C$36))</f>
        <v>53593.071750369</v>
      </c>
      <c r="L219" s="16" t="n">
        <f aca="false">IF($A219&gt;PARAMETROS!$C$33,"",L218*(1+PARAMETROS!$C$37)*(1+M219))</f>
        <v>22321.684803482</v>
      </c>
      <c r="M219" s="17" t="n">
        <f aca="false">IF($A219&gt;PARAMETROS!$C$33,"",IF(C219&lt;70,PARAMETROS!$C$40,IF(C219&lt;75,PARAMETROS!$C$41,IF(C219&lt;80,PARAMETROS!$C$42,IF(C219&lt;85,PARAMETROS!$C$43,IF(C219&lt;90,PARAMETROS!$C$44,PARAMETROS!$C$45))))))</f>
        <v>0.000829538114346162</v>
      </c>
      <c r="N219" s="16" t="n">
        <f aca="false">IF($A219&gt;PARAMETROS!$C$33,"",K219+L219)</f>
        <v>75914.756553851</v>
      </c>
      <c r="O219" s="16" t="n">
        <f aca="false">IF($A219&gt;PARAMETROS!$C$33,"",I219+J219-N219)</f>
        <v>-15768.2954410887</v>
      </c>
      <c r="P219" s="16" t="n">
        <f aca="false">IF($A219&gt;PARAMETROS!$C$33,"",MAX(E219+I219+J219-N219,0))</f>
        <v>0</v>
      </c>
      <c r="Q219" s="18" t="str">
        <f aca="false">IF($A219&gt;PARAMETROS!$C$33,"",IF(P219&lt;=0,"AGOTADO","OK"))</f>
        <v>AGOTADO</v>
      </c>
    </row>
    <row r="220" customFormat="false" ht="15" hidden="false" customHeight="false" outlineLevel="0" collapsed="false">
      <c r="A220" s="15" t="n">
        <f aca="false">A219+1</f>
        <v>218</v>
      </c>
      <c r="B220" s="15" t="n">
        <f aca="false">IF($A220="","",ROUNDUP($A220/12,0))</f>
        <v>19</v>
      </c>
      <c r="C220" s="15" t="n">
        <f aca="false">IF($A220="","",PARAMETROS!$C$6+INT(($A220-1)/12))</f>
        <v>83</v>
      </c>
      <c r="D220" s="15" t="n">
        <f aca="false">IF($A220="","",MOD($A220-1,12)+1)</f>
        <v>2</v>
      </c>
      <c r="E220" s="16" t="n">
        <f aca="false">IF($A220&gt;PARAMETROS!$C$33,"",P219)</f>
        <v>0</v>
      </c>
      <c r="F220" s="17" t="n">
        <f aca="false">IF($A220&gt;PARAMETROS!$C$33,"",PARAMETROS!$C$38)</f>
        <v>0.00495440818448101</v>
      </c>
      <c r="G220" s="16" t="n">
        <f aca="false">IF($A220&gt;PARAMETROS!$C$33,"",E220*F220)</f>
        <v>0</v>
      </c>
      <c r="H220" s="16" t="n">
        <f aca="false">IF($A220&gt;PARAMETROS!$C$33,"",E220*PARAMETROS!$C$39)</f>
        <v>0</v>
      </c>
      <c r="I220" s="16" t="n">
        <f aca="false">IF($A220&gt;PARAMETROS!$C$33,"",G220-H220)</f>
        <v>0</v>
      </c>
      <c r="J220" s="16" t="n">
        <f aca="false">IF($A220&gt;PARAMETROS!$C$33,"",PARAMETROS!$C$9*(1+PARAMETROS!$C$17)^(B220-1))</f>
        <v>60146.4611127623</v>
      </c>
      <c r="K220" s="16" t="n">
        <f aca="false">IF($A220&gt;PARAMETROS!$C$33,"",K219*(1+PARAMETROS!$C$36))</f>
        <v>53776.7005877398</v>
      </c>
      <c r="L220" s="16" t="n">
        <f aca="false">IF($A220&gt;PARAMETROS!$C$33,"",L219*(1+PARAMETROS!$C$37)*(1+M220))</f>
        <v>22428.3678380634</v>
      </c>
      <c r="M220" s="17" t="n">
        <f aca="false">IF($A220&gt;PARAMETROS!$C$33,"",IF(C220&lt;70,PARAMETROS!$C$40,IF(C220&lt;75,PARAMETROS!$C$41,IF(C220&lt;80,PARAMETROS!$C$42,IF(C220&lt;85,PARAMETROS!$C$43,IF(C220&lt;90,PARAMETROS!$C$44,PARAMETROS!$C$45))))))</f>
        <v>0.000829538114346162</v>
      </c>
      <c r="N220" s="16" t="n">
        <f aca="false">IF($A220&gt;PARAMETROS!$C$33,"",K220+L220)</f>
        <v>76205.0684258031</v>
      </c>
      <c r="O220" s="16" t="n">
        <f aca="false">IF($A220&gt;PARAMETROS!$C$33,"",I220+J220-N220)</f>
        <v>-16058.6073130408</v>
      </c>
      <c r="P220" s="16" t="n">
        <f aca="false">IF($A220&gt;PARAMETROS!$C$33,"",MAX(E220+I220+J220-N220,0))</f>
        <v>0</v>
      </c>
      <c r="Q220" s="18" t="str">
        <f aca="false">IF($A220&gt;PARAMETROS!$C$33,"",IF(P220&lt;=0,"AGOTADO","OK"))</f>
        <v>AGOTADO</v>
      </c>
    </row>
    <row r="221" customFormat="false" ht="15" hidden="false" customHeight="false" outlineLevel="0" collapsed="false">
      <c r="A221" s="15" t="n">
        <f aca="false">A220+1</f>
        <v>219</v>
      </c>
      <c r="B221" s="15" t="n">
        <f aca="false">IF($A221="","",ROUNDUP($A221/12,0))</f>
        <v>19</v>
      </c>
      <c r="C221" s="15" t="n">
        <f aca="false">IF($A221="","",PARAMETROS!$C$6+INT(($A221-1)/12))</f>
        <v>83</v>
      </c>
      <c r="D221" s="15" t="n">
        <f aca="false">IF($A221="","",MOD($A221-1,12)+1)</f>
        <v>3</v>
      </c>
      <c r="E221" s="16" t="n">
        <f aca="false">IF($A221&gt;PARAMETROS!$C$33,"",P220)</f>
        <v>0</v>
      </c>
      <c r="F221" s="17" t="n">
        <f aca="false">IF($A221&gt;PARAMETROS!$C$33,"",PARAMETROS!$C$38)</f>
        <v>0.00495440818448101</v>
      </c>
      <c r="G221" s="16" t="n">
        <f aca="false">IF($A221&gt;PARAMETROS!$C$33,"",E221*F221)</f>
        <v>0</v>
      </c>
      <c r="H221" s="16" t="n">
        <f aca="false">IF($A221&gt;PARAMETROS!$C$33,"",E221*PARAMETROS!$C$39)</f>
        <v>0</v>
      </c>
      <c r="I221" s="16" t="n">
        <f aca="false">IF($A221&gt;PARAMETROS!$C$33,"",G221-H221)</f>
        <v>0</v>
      </c>
      <c r="J221" s="16" t="n">
        <f aca="false">IF($A221&gt;PARAMETROS!$C$33,"",PARAMETROS!$C$9*(1+PARAMETROS!$C$17)^(B221-1))</f>
        <v>60146.4611127623</v>
      </c>
      <c r="K221" s="16" t="n">
        <f aca="false">IF($A221&gt;PARAMETROS!$C$33,"",K220*(1+PARAMETROS!$C$36))</f>
        <v>53960.9586025175</v>
      </c>
      <c r="L221" s="16" t="n">
        <f aca="false">IF($A221&gt;PARAMETROS!$C$33,"",L220*(1+PARAMETROS!$C$37)*(1+M221))</f>
        <v>22535.5607476818</v>
      </c>
      <c r="M221" s="17" t="n">
        <f aca="false">IF($A221&gt;PARAMETROS!$C$33,"",IF(C221&lt;70,PARAMETROS!$C$40,IF(C221&lt;75,PARAMETROS!$C$41,IF(C221&lt;80,PARAMETROS!$C$42,IF(C221&lt;85,PARAMETROS!$C$43,IF(C221&lt;90,PARAMETROS!$C$44,PARAMETROS!$C$45))))))</f>
        <v>0.000829538114346162</v>
      </c>
      <c r="N221" s="16" t="n">
        <f aca="false">IF($A221&gt;PARAMETROS!$C$33,"",K221+L221)</f>
        <v>76496.5193501993</v>
      </c>
      <c r="O221" s="16" t="n">
        <f aca="false">IF($A221&gt;PARAMETROS!$C$33,"",I221+J221-N221)</f>
        <v>-16350.058237437</v>
      </c>
      <c r="P221" s="16" t="n">
        <f aca="false">IF($A221&gt;PARAMETROS!$C$33,"",MAX(E221+I221+J221-N221,0))</f>
        <v>0</v>
      </c>
      <c r="Q221" s="18" t="str">
        <f aca="false">IF($A221&gt;PARAMETROS!$C$33,"",IF(P221&lt;=0,"AGOTADO","OK"))</f>
        <v>AGOTADO</v>
      </c>
    </row>
    <row r="222" customFormat="false" ht="15" hidden="false" customHeight="false" outlineLevel="0" collapsed="false">
      <c r="A222" s="15" t="n">
        <f aca="false">A221+1</f>
        <v>220</v>
      </c>
      <c r="B222" s="15" t="n">
        <f aca="false">IF($A222="","",ROUNDUP($A222/12,0))</f>
        <v>19</v>
      </c>
      <c r="C222" s="15" t="n">
        <f aca="false">IF($A222="","",PARAMETROS!$C$6+INT(($A222-1)/12))</f>
        <v>83</v>
      </c>
      <c r="D222" s="15" t="n">
        <f aca="false">IF($A222="","",MOD($A222-1,12)+1)</f>
        <v>4</v>
      </c>
      <c r="E222" s="16" t="n">
        <f aca="false">IF($A222&gt;PARAMETROS!$C$33,"",P221)</f>
        <v>0</v>
      </c>
      <c r="F222" s="17" t="n">
        <f aca="false">IF($A222&gt;PARAMETROS!$C$33,"",PARAMETROS!$C$38)</f>
        <v>0.00495440818448101</v>
      </c>
      <c r="G222" s="16" t="n">
        <f aca="false">IF($A222&gt;PARAMETROS!$C$33,"",E222*F222)</f>
        <v>0</v>
      </c>
      <c r="H222" s="16" t="n">
        <f aca="false">IF($A222&gt;PARAMETROS!$C$33,"",E222*PARAMETROS!$C$39)</f>
        <v>0</v>
      </c>
      <c r="I222" s="16" t="n">
        <f aca="false">IF($A222&gt;PARAMETROS!$C$33,"",G222-H222)</f>
        <v>0</v>
      </c>
      <c r="J222" s="16" t="n">
        <f aca="false">IF($A222&gt;PARAMETROS!$C$33,"",PARAMETROS!$C$9*(1+PARAMETROS!$C$17)^(B222-1))</f>
        <v>60146.4611127623</v>
      </c>
      <c r="K222" s="16" t="n">
        <f aca="false">IF($A222&gt;PARAMETROS!$C$33,"",K221*(1+PARAMETROS!$C$36))</f>
        <v>54145.8479504867</v>
      </c>
      <c r="L222" s="16" t="n">
        <f aca="false">IF($A222&gt;PARAMETROS!$C$33,"",L221*(1+PARAMETROS!$C$37)*(1+M222))</f>
        <v>22643.2659692061</v>
      </c>
      <c r="M222" s="17" t="n">
        <f aca="false">IF($A222&gt;PARAMETROS!$C$33,"",IF(C222&lt;70,PARAMETROS!$C$40,IF(C222&lt;75,PARAMETROS!$C$41,IF(C222&lt;80,PARAMETROS!$C$42,IF(C222&lt;85,PARAMETROS!$C$43,IF(C222&lt;90,PARAMETROS!$C$44,PARAMETROS!$C$45))))))</f>
        <v>0.000829538114346162</v>
      </c>
      <c r="N222" s="16" t="n">
        <f aca="false">IF($A222&gt;PARAMETROS!$C$33,"",K222+L222)</f>
        <v>76789.1139196928</v>
      </c>
      <c r="O222" s="16" t="n">
        <f aca="false">IF($A222&gt;PARAMETROS!$C$33,"",I222+J222-N222)</f>
        <v>-16642.6528069306</v>
      </c>
      <c r="P222" s="16" t="n">
        <f aca="false">IF($A222&gt;PARAMETROS!$C$33,"",MAX(E222+I222+J222-N222,0))</f>
        <v>0</v>
      </c>
      <c r="Q222" s="18" t="str">
        <f aca="false">IF($A222&gt;PARAMETROS!$C$33,"",IF(P222&lt;=0,"AGOTADO","OK"))</f>
        <v>AGOTADO</v>
      </c>
    </row>
    <row r="223" customFormat="false" ht="15" hidden="false" customHeight="false" outlineLevel="0" collapsed="false">
      <c r="A223" s="15" t="n">
        <f aca="false">A222+1</f>
        <v>221</v>
      </c>
      <c r="B223" s="15" t="n">
        <f aca="false">IF($A223="","",ROUNDUP($A223/12,0))</f>
        <v>19</v>
      </c>
      <c r="C223" s="15" t="n">
        <f aca="false">IF($A223="","",PARAMETROS!$C$6+INT(($A223-1)/12))</f>
        <v>83</v>
      </c>
      <c r="D223" s="15" t="n">
        <f aca="false">IF($A223="","",MOD($A223-1,12)+1)</f>
        <v>5</v>
      </c>
      <c r="E223" s="16" t="n">
        <f aca="false">IF($A223&gt;PARAMETROS!$C$33,"",P222)</f>
        <v>0</v>
      </c>
      <c r="F223" s="17" t="n">
        <f aca="false">IF($A223&gt;PARAMETROS!$C$33,"",PARAMETROS!$C$38)</f>
        <v>0.00495440818448101</v>
      </c>
      <c r="G223" s="16" t="n">
        <f aca="false">IF($A223&gt;PARAMETROS!$C$33,"",E223*F223)</f>
        <v>0</v>
      </c>
      <c r="H223" s="16" t="n">
        <f aca="false">IF($A223&gt;PARAMETROS!$C$33,"",E223*PARAMETROS!$C$39)</f>
        <v>0</v>
      </c>
      <c r="I223" s="16" t="n">
        <f aca="false">IF($A223&gt;PARAMETROS!$C$33,"",G223-H223)</f>
        <v>0</v>
      </c>
      <c r="J223" s="16" t="n">
        <f aca="false">IF($A223&gt;PARAMETROS!$C$33,"",PARAMETROS!$C$9*(1+PARAMETROS!$C$17)^(B223-1))</f>
        <v>60146.4611127623</v>
      </c>
      <c r="K223" s="16" t="n">
        <f aca="false">IF($A223&gt;PARAMETROS!$C$33,"",K222*(1+PARAMETROS!$C$36))</f>
        <v>54331.3707948185</v>
      </c>
      <c r="L223" s="16" t="n">
        <f aca="false">IF($A223&gt;PARAMETROS!$C$33,"",L222*(1+PARAMETROS!$C$37)*(1+M223))</f>
        <v>22751.4859511517</v>
      </c>
      <c r="M223" s="17" t="n">
        <f aca="false">IF($A223&gt;PARAMETROS!$C$33,"",IF(C223&lt;70,PARAMETROS!$C$40,IF(C223&lt;75,PARAMETROS!$C$41,IF(C223&lt;80,PARAMETROS!$C$42,IF(C223&lt;85,PARAMETROS!$C$43,IF(C223&lt;90,PARAMETROS!$C$44,PARAMETROS!$C$45))))))</f>
        <v>0.000829538114346162</v>
      </c>
      <c r="N223" s="16" t="n">
        <f aca="false">IF($A223&gt;PARAMETROS!$C$33,"",K223+L223)</f>
        <v>77082.8567459701</v>
      </c>
      <c r="O223" s="16" t="n">
        <f aca="false">IF($A223&gt;PARAMETROS!$C$33,"",I223+J223-N223)</f>
        <v>-16936.3956332079</v>
      </c>
      <c r="P223" s="16" t="n">
        <f aca="false">IF($A223&gt;PARAMETROS!$C$33,"",MAX(E223+I223+J223-N223,0))</f>
        <v>0</v>
      </c>
      <c r="Q223" s="18" t="str">
        <f aca="false">IF($A223&gt;PARAMETROS!$C$33,"",IF(P223&lt;=0,"AGOTADO","OK"))</f>
        <v>AGOTADO</v>
      </c>
    </row>
    <row r="224" customFormat="false" ht="15" hidden="false" customHeight="false" outlineLevel="0" collapsed="false">
      <c r="A224" s="15" t="n">
        <f aca="false">A223+1</f>
        <v>222</v>
      </c>
      <c r="B224" s="15" t="n">
        <f aca="false">IF($A224="","",ROUNDUP($A224/12,0))</f>
        <v>19</v>
      </c>
      <c r="C224" s="15" t="n">
        <f aca="false">IF($A224="","",PARAMETROS!$C$6+INT(($A224-1)/12))</f>
        <v>83</v>
      </c>
      <c r="D224" s="15" t="n">
        <f aca="false">IF($A224="","",MOD($A224-1,12)+1)</f>
        <v>6</v>
      </c>
      <c r="E224" s="16" t="n">
        <f aca="false">IF($A224&gt;PARAMETROS!$C$33,"",P223)</f>
        <v>0</v>
      </c>
      <c r="F224" s="17" t="n">
        <f aca="false">IF($A224&gt;PARAMETROS!$C$33,"",PARAMETROS!$C$38)</f>
        <v>0.00495440818448101</v>
      </c>
      <c r="G224" s="16" t="n">
        <f aca="false">IF($A224&gt;PARAMETROS!$C$33,"",E224*F224)</f>
        <v>0</v>
      </c>
      <c r="H224" s="16" t="n">
        <f aca="false">IF($A224&gt;PARAMETROS!$C$33,"",E224*PARAMETROS!$C$39)</f>
        <v>0</v>
      </c>
      <c r="I224" s="16" t="n">
        <f aca="false">IF($A224&gt;PARAMETROS!$C$33,"",G224-H224)</f>
        <v>0</v>
      </c>
      <c r="J224" s="16" t="n">
        <f aca="false">IF($A224&gt;PARAMETROS!$C$33,"",PARAMETROS!$C$9*(1+PARAMETROS!$C$17)^(B224-1))</f>
        <v>60146.4611127623</v>
      </c>
      <c r="K224" s="16" t="n">
        <f aca="false">IF($A224&gt;PARAMETROS!$C$33,"",K223*(1+PARAMETROS!$C$36))</f>
        <v>54517.5293060955</v>
      </c>
      <c r="L224" s="16" t="n">
        <f aca="false">IF($A224&gt;PARAMETROS!$C$33,"",L223*(1+PARAMETROS!$C$37)*(1+M224))</f>
        <v>22860.2231537362</v>
      </c>
      <c r="M224" s="17" t="n">
        <f aca="false">IF($A224&gt;PARAMETROS!$C$33,"",IF(C224&lt;70,PARAMETROS!$C$40,IF(C224&lt;75,PARAMETROS!$C$41,IF(C224&lt;80,PARAMETROS!$C$42,IF(C224&lt;85,PARAMETROS!$C$43,IF(C224&lt;90,PARAMETROS!$C$44,PARAMETROS!$C$45))))))</f>
        <v>0.000829538114346162</v>
      </c>
      <c r="N224" s="16" t="n">
        <f aca="false">IF($A224&gt;PARAMETROS!$C$33,"",K224+L224)</f>
        <v>77377.7524598317</v>
      </c>
      <c r="O224" s="16" t="n">
        <f aca="false">IF($A224&gt;PARAMETROS!$C$33,"",I224+J224-N224)</f>
        <v>-17231.2913470694</v>
      </c>
      <c r="P224" s="16" t="n">
        <f aca="false">IF($A224&gt;PARAMETROS!$C$33,"",MAX(E224+I224+J224-N224,0))</f>
        <v>0</v>
      </c>
      <c r="Q224" s="18" t="str">
        <f aca="false">IF($A224&gt;PARAMETROS!$C$33,"",IF(P224&lt;=0,"AGOTADO","OK"))</f>
        <v>AGOTADO</v>
      </c>
    </row>
    <row r="225" customFormat="false" ht="15" hidden="false" customHeight="false" outlineLevel="0" collapsed="false">
      <c r="A225" s="15" t="n">
        <f aca="false">A224+1</f>
        <v>223</v>
      </c>
      <c r="B225" s="15" t="n">
        <f aca="false">IF($A225="","",ROUNDUP($A225/12,0))</f>
        <v>19</v>
      </c>
      <c r="C225" s="15" t="n">
        <f aca="false">IF($A225="","",PARAMETROS!$C$6+INT(($A225-1)/12))</f>
        <v>83</v>
      </c>
      <c r="D225" s="15" t="n">
        <f aca="false">IF($A225="","",MOD($A225-1,12)+1)</f>
        <v>7</v>
      </c>
      <c r="E225" s="16" t="n">
        <f aca="false">IF($A225&gt;PARAMETROS!$C$33,"",P224)</f>
        <v>0</v>
      </c>
      <c r="F225" s="17" t="n">
        <f aca="false">IF($A225&gt;PARAMETROS!$C$33,"",PARAMETROS!$C$38)</f>
        <v>0.00495440818448101</v>
      </c>
      <c r="G225" s="16" t="n">
        <f aca="false">IF($A225&gt;PARAMETROS!$C$33,"",E225*F225)</f>
        <v>0</v>
      </c>
      <c r="H225" s="16" t="n">
        <f aca="false">IF($A225&gt;PARAMETROS!$C$33,"",E225*PARAMETROS!$C$39)</f>
        <v>0</v>
      </c>
      <c r="I225" s="16" t="n">
        <f aca="false">IF($A225&gt;PARAMETROS!$C$33,"",G225-H225)</f>
        <v>0</v>
      </c>
      <c r="J225" s="16" t="n">
        <f aca="false">IF($A225&gt;PARAMETROS!$C$33,"",PARAMETROS!$C$9*(1+PARAMETROS!$C$17)^(B225-1))</f>
        <v>60146.4611127623</v>
      </c>
      <c r="K225" s="16" t="n">
        <f aca="false">IF($A225&gt;PARAMETROS!$C$33,"",K224*(1+PARAMETROS!$C$36))</f>
        <v>54704.3256623379</v>
      </c>
      <c r="L225" s="16" t="n">
        <f aca="false">IF($A225&gt;PARAMETROS!$C$33,"",L224*(1+PARAMETROS!$C$37)*(1+M225))</f>
        <v>22969.4800489355</v>
      </c>
      <c r="M225" s="17" t="n">
        <f aca="false">IF($A225&gt;PARAMETROS!$C$33,"",IF(C225&lt;70,PARAMETROS!$C$40,IF(C225&lt;75,PARAMETROS!$C$41,IF(C225&lt;80,PARAMETROS!$C$42,IF(C225&lt;85,PARAMETROS!$C$43,IF(C225&lt;90,PARAMETROS!$C$44,PARAMETROS!$C$45))))))</f>
        <v>0.000829538114346162</v>
      </c>
      <c r="N225" s="16" t="n">
        <f aca="false">IF($A225&gt;PARAMETROS!$C$33,"",K225+L225)</f>
        <v>77673.8057112735</v>
      </c>
      <c r="O225" s="16" t="n">
        <f aca="false">IF($A225&gt;PARAMETROS!$C$33,"",I225+J225-N225)</f>
        <v>-17527.3445985112</v>
      </c>
      <c r="P225" s="16" t="n">
        <f aca="false">IF($A225&gt;PARAMETROS!$C$33,"",MAX(E225+I225+J225-N225,0))</f>
        <v>0</v>
      </c>
      <c r="Q225" s="18" t="str">
        <f aca="false">IF($A225&gt;PARAMETROS!$C$33,"",IF(P225&lt;=0,"AGOTADO","OK"))</f>
        <v>AGOTADO</v>
      </c>
    </row>
    <row r="226" customFormat="false" ht="15" hidden="false" customHeight="false" outlineLevel="0" collapsed="false">
      <c r="A226" s="15" t="n">
        <f aca="false">A225+1</f>
        <v>224</v>
      </c>
      <c r="B226" s="15" t="n">
        <f aca="false">IF($A226="","",ROUNDUP($A226/12,0))</f>
        <v>19</v>
      </c>
      <c r="C226" s="15" t="n">
        <f aca="false">IF($A226="","",PARAMETROS!$C$6+INT(($A226-1)/12))</f>
        <v>83</v>
      </c>
      <c r="D226" s="15" t="n">
        <f aca="false">IF($A226="","",MOD($A226-1,12)+1)</f>
        <v>8</v>
      </c>
      <c r="E226" s="16" t="n">
        <f aca="false">IF($A226&gt;PARAMETROS!$C$33,"",P225)</f>
        <v>0</v>
      </c>
      <c r="F226" s="17" t="n">
        <f aca="false">IF($A226&gt;PARAMETROS!$C$33,"",PARAMETROS!$C$38)</f>
        <v>0.00495440818448101</v>
      </c>
      <c r="G226" s="16" t="n">
        <f aca="false">IF($A226&gt;PARAMETROS!$C$33,"",E226*F226)</f>
        <v>0</v>
      </c>
      <c r="H226" s="16" t="n">
        <f aca="false">IF($A226&gt;PARAMETROS!$C$33,"",E226*PARAMETROS!$C$39)</f>
        <v>0</v>
      </c>
      <c r="I226" s="16" t="n">
        <f aca="false">IF($A226&gt;PARAMETROS!$C$33,"",G226-H226)</f>
        <v>0</v>
      </c>
      <c r="J226" s="16" t="n">
        <f aca="false">IF($A226&gt;PARAMETROS!$C$33,"",PARAMETROS!$C$9*(1+PARAMETROS!$C$17)^(B226-1))</f>
        <v>60146.4611127623</v>
      </c>
      <c r="K226" s="16" t="n">
        <f aca="false">IF($A226&gt;PARAMETROS!$C$33,"",K225*(1+PARAMETROS!$C$36))</f>
        <v>54891.7620490283</v>
      </c>
      <c r="L226" s="16" t="n">
        <f aca="false">IF($A226&gt;PARAMETROS!$C$33,"",L225*(1+PARAMETROS!$C$37)*(1+M226))</f>
        <v>23079.2591205401</v>
      </c>
      <c r="M226" s="17" t="n">
        <f aca="false">IF($A226&gt;PARAMETROS!$C$33,"",IF(C226&lt;70,PARAMETROS!$C$40,IF(C226&lt;75,PARAMETROS!$C$41,IF(C226&lt;80,PARAMETROS!$C$42,IF(C226&lt;85,PARAMETROS!$C$43,IF(C226&lt;90,PARAMETROS!$C$44,PARAMETROS!$C$45))))))</f>
        <v>0.000829538114346162</v>
      </c>
      <c r="N226" s="16" t="n">
        <f aca="false">IF($A226&gt;PARAMETROS!$C$33,"",K226+L226)</f>
        <v>77971.0211695684</v>
      </c>
      <c r="O226" s="16" t="n">
        <f aca="false">IF($A226&gt;PARAMETROS!$C$33,"",I226+J226-N226)</f>
        <v>-17824.5600568061</v>
      </c>
      <c r="P226" s="16" t="n">
        <f aca="false">IF($A226&gt;PARAMETROS!$C$33,"",MAX(E226+I226+J226-N226,0))</f>
        <v>0</v>
      </c>
      <c r="Q226" s="18" t="str">
        <f aca="false">IF($A226&gt;PARAMETROS!$C$33,"",IF(P226&lt;=0,"AGOTADO","OK"))</f>
        <v>AGOTADO</v>
      </c>
    </row>
    <row r="227" customFormat="false" ht="15" hidden="false" customHeight="false" outlineLevel="0" collapsed="false">
      <c r="A227" s="15" t="n">
        <f aca="false">A226+1</f>
        <v>225</v>
      </c>
      <c r="B227" s="15" t="n">
        <f aca="false">IF($A227="","",ROUNDUP($A227/12,0))</f>
        <v>19</v>
      </c>
      <c r="C227" s="15" t="n">
        <f aca="false">IF($A227="","",PARAMETROS!$C$6+INT(($A227-1)/12))</f>
        <v>83</v>
      </c>
      <c r="D227" s="15" t="n">
        <f aca="false">IF($A227="","",MOD($A227-1,12)+1)</f>
        <v>9</v>
      </c>
      <c r="E227" s="16" t="n">
        <f aca="false">IF($A227&gt;PARAMETROS!$C$33,"",P226)</f>
        <v>0</v>
      </c>
      <c r="F227" s="17" t="n">
        <f aca="false">IF($A227&gt;PARAMETROS!$C$33,"",PARAMETROS!$C$38)</f>
        <v>0.00495440818448101</v>
      </c>
      <c r="G227" s="16" t="n">
        <f aca="false">IF($A227&gt;PARAMETROS!$C$33,"",E227*F227)</f>
        <v>0</v>
      </c>
      <c r="H227" s="16" t="n">
        <f aca="false">IF($A227&gt;PARAMETROS!$C$33,"",E227*PARAMETROS!$C$39)</f>
        <v>0</v>
      </c>
      <c r="I227" s="16" t="n">
        <f aca="false">IF($A227&gt;PARAMETROS!$C$33,"",G227-H227)</f>
        <v>0</v>
      </c>
      <c r="J227" s="16" t="n">
        <f aca="false">IF($A227&gt;PARAMETROS!$C$33,"",PARAMETROS!$C$9*(1+PARAMETROS!$C$17)^(B227-1))</f>
        <v>60146.4611127623</v>
      </c>
      <c r="K227" s="16" t="n">
        <f aca="false">IF($A227&gt;PARAMETROS!$C$33,"",K226*(1+PARAMETROS!$C$36))</f>
        <v>55079.8406591376</v>
      </c>
      <c r="L227" s="16" t="n">
        <f aca="false">IF($A227&gt;PARAMETROS!$C$33,"",L226*(1+PARAMETROS!$C$37)*(1+M227))</f>
        <v>23189.5628642111</v>
      </c>
      <c r="M227" s="17" t="n">
        <f aca="false">IF($A227&gt;PARAMETROS!$C$33,"",IF(C227&lt;70,PARAMETROS!$C$40,IF(C227&lt;75,PARAMETROS!$C$41,IF(C227&lt;80,PARAMETROS!$C$42,IF(C227&lt;85,PARAMETROS!$C$43,IF(C227&lt;90,PARAMETROS!$C$44,PARAMETROS!$C$45))))))</f>
        <v>0.000829538114346162</v>
      </c>
      <c r="N227" s="16" t="n">
        <f aca="false">IF($A227&gt;PARAMETROS!$C$33,"",K227+L227)</f>
        <v>78269.4035233487</v>
      </c>
      <c r="O227" s="16" t="n">
        <f aca="false">IF($A227&gt;PARAMETROS!$C$33,"",I227+J227-N227)</f>
        <v>-18122.9424105864</v>
      </c>
      <c r="P227" s="16" t="n">
        <f aca="false">IF($A227&gt;PARAMETROS!$C$33,"",MAX(E227+I227+J227-N227,0))</f>
        <v>0</v>
      </c>
      <c r="Q227" s="18" t="str">
        <f aca="false">IF($A227&gt;PARAMETROS!$C$33,"",IF(P227&lt;=0,"AGOTADO","OK"))</f>
        <v>AGOTADO</v>
      </c>
    </row>
    <row r="228" customFormat="false" ht="15" hidden="false" customHeight="false" outlineLevel="0" collapsed="false">
      <c r="A228" s="15" t="n">
        <f aca="false">A227+1</f>
        <v>226</v>
      </c>
      <c r="B228" s="15" t="n">
        <f aca="false">IF($A228="","",ROUNDUP($A228/12,0))</f>
        <v>19</v>
      </c>
      <c r="C228" s="15" t="n">
        <f aca="false">IF($A228="","",PARAMETROS!$C$6+INT(($A228-1)/12))</f>
        <v>83</v>
      </c>
      <c r="D228" s="15" t="n">
        <f aca="false">IF($A228="","",MOD($A228-1,12)+1)</f>
        <v>10</v>
      </c>
      <c r="E228" s="16" t="n">
        <f aca="false">IF($A228&gt;PARAMETROS!$C$33,"",P227)</f>
        <v>0</v>
      </c>
      <c r="F228" s="17" t="n">
        <f aca="false">IF($A228&gt;PARAMETROS!$C$33,"",PARAMETROS!$C$38)</f>
        <v>0.00495440818448101</v>
      </c>
      <c r="G228" s="16" t="n">
        <f aca="false">IF($A228&gt;PARAMETROS!$C$33,"",E228*F228)</f>
        <v>0</v>
      </c>
      <c r="H228" s="16" t="n">
        <f aca="false">IF($A228&gt;PARAMETROS!$C$33,"",E228*PARAMETROS!$C$39)</f>
        <v>0</v>
      </c>
      <c r="I228" s="16" t="n">
        <f aca="false">IF($A228&gt;PARAMETROS!$C$33,"",G228-H228)</f>
        <v>0</v>
      </c>
      <c r="J228" s="16" t="n">
        <f aca="false">IF($A228&gt;PARAMETROS!$C$33,"",PARAMETROS!$C$9*(1+PARAMETROS!$C$17)^(B228-1))</f>
        <v>60146.4611127623</v>
      </c>
      <c r="K228" s="16" t="n">
        <f aca="false">IF($A228&gt;PARAMETROS!$C$33,"",K227*(1+PARAMETROS!$C$36))</f>
        <v>55268.5636931506</v>
      </c>
      <c r="L228" s="16" t="n">
        <f aca="false">IF($A228&gt;PARAMETROS!$C$33,"",L227*(1+PARAMETROS!$C$37)*(1+M228))</f>
        <v>23300.3937875374</v>
      </c>
      <c r="M228" s="17" t="n">
        <f aca="false">IF($A228&gt;PARAMETROS!$C$33,"",IF(C228&lt;70,PARAMETROS!$C$40,IF(C228&lt;75,PARAMETROS!$C$41,IF(C228&lt;80,PARAMETROS!$C$42,IF(C228&lt;85,PARAMETROS!$C$43,IF(C228&lt;90,PARAMETROS!$C$44,PARAMETROS!$C$45))))))</f>
        <v>0.000829538114346162</v>
      </c>
      <c r="N228" s="16" t="n">
        <f aca="false">IF($A228&gt;PARAMETROS!$C$33,"",K228+L228)</f>
        <v>78568.957480688</v>
      </c>
      <c r="O228" s="16" t="n">
        <f aca="false">IF($A228&gt;PARAMETROS!$C$33,"",I228+J228-N228)</f>
        <v>-18422.4963679257</v>
      </c>
      <c r="P228" s="16" t="n">
        <f aca="false">IF($A228&gt;PARAMETROS!$C$33,"",MAX(E228+I228+J228-N228,0))</f>
        <v>0</v>
      </c>
      <c r="Q228" s="18" t="str">
        <f aca="false">IF($A228&gt;PARAMETROS!$C$33,"",IF(P228&lt;=0,"AGOTADO","OK"))</f>
        <v>AGOTADO</v>
      </c>
    </row>
    <row r="229" customFormat="false" ht="15" hidden="false" customHeight="false" outlineLevel="0" collapsed="false">
      <c r="A229" s="15" t="n">
        <f aca="false">A228+1</f>
        <v>227</v>
      </c>
      <c r="B229" s="15" t="n">
        <f aca="false">IF($A229="","",ROUNDUP($A229/12,0))</f>
        <v>19</v>
      </c>
      <c r="C229" s="15" t="n">
        <f aca="false">IF($A229="","",PARAMETROS!$C$6+INT(($A229-1)/12))</f>
        <v>83</v>
      </c>
      <c r="D229" s="15" t="n">
        <f aca="false">IF($A229="","",MOD($A229-1,12)+1)</f>
        <v>11</v>
      </c>
      <c r="E229" s="16" t="n">
        <f aca="false">IF($A229&gt;PARAMETROS!$C$33,"",P228)</f>
        <v>0</v>
      </c>
      <c r="F229" s="17" t="n">
        <f aca="false">IF($A229&gt;PARAMETROS!$C$33,"",PARAMETROS!$C$38)</f>
        <v>0.00495440818448101</v>
      </c>
      <c r="G229" s="16" t="n">
        <f aca="false">IF($A229&gt;PARAMETROS!$C$33,"",E229*F229)</f>
        <v>0</v>
      </c>
      <c r="H229" s="16" t="n">
        <f aca="false">IF($A229&gt;PARAMETROS!$C$33,"",E229*PARAMETROS!$C$39)</f>
        <v>0</v>
      </c>
      <c r="I229" s="16" t="n">
        <f aca="false">IF($A229&gt;PARAMETROS!$C$33,"",G229-H229)</f>
        <v>0</v>
      </c>
      <c r="J229" s="16" t="n">
        <f aca="false">IF($A229&gt;PARAMETROS!$C$33,"",PARAMETROS!$C$9*(1+PARAMETROS!$C$17)^(B229-1))</f>
        <v>60146.4611127623</v>
      </c>
      <c r="K229" s="16" t="n">
        <f aca="false">IF($A229&gt;PARAMETROS!$C$33,"",K228*(1+PARAMETROS!$C$36))</f>
        <v>55457.9333590917</v>
      </c>
      <c r="L229" s="16" t="n">
        <f aca="false">IF($A229&gt;PARAMETROS!$C$33,"",L228*(1+PARAMETROS!$C$37)*(1+M229))</f>
        <v>23411.7544100925</v>
      </c>
      <c r="M229" s="17" t="n">
        <f aca="false">IF($A229&gt;PARAMETROS!$C$33,"",IF(C229&lt;70,PARAMETROS!$C$40,IF(C229&lt;75,PARAMETROS!$C$41,IF(C229&lt;80,PARAMETROS!$C$42,IF(C229&lt;85,PARAMETROS!$C$43,IF(C229&lt;90,PARAMETROS!$C$44,PARAMETROS!$C$45))))))</f>
        <v>0.000829538114346162</v>
      </c>
      <c r="N229" s="16" t="n">
        <f aca="false">IF($A229&gt;PARAMETROS!$C$33,"",K229+L229)</f>
        <v>78869.6877691842</v>
      </c>
      <c r="O229" s="16" t="n">
        <f aca="false">IF($A229&gt;PARAMETROS!$C$33,"",I229+J229-N229)</f>
        <v>-18723.2266564219</v>
      </c>
      <c r="P229" s="16" t="n">
        <f aca="false">IF($A229&gt;PARAMETROS!$C$33,"",MAX(E229+I229+J229-N229,0))</f>
        <v>0</v>
      </c>
      <c r="Q229" s="18" t="str">
        <f aca="false">IF($A229&gt;PARAMETROS!$C$33,"",IF(P229&lt;=0,"AGOTADO","OK"))</f>
        <v>AGOTADO</v>
      </c>
    </row>
    <row r="230" customFormat="false" ht="15" hidden="false" customHeight="false" outlineLevel="0" collapsed="false">
      <c r="A230" s="15" t="n">
        <f aca="false">A229+1</f>
        <v>228</v>
      </c>
      <c r="B230" s="15" t="n">
        <f aca="false">IF($A230="","",ROUNDUP($A230/12,0))</f>
        <v>19</v>
      </c>
      <c r="C230" s="15" t="n">
        <f aca="false">IF($A230="","",PARAMETROS!$C$6+INT(($A230-1)/12))</f>
        <v>83</v>
      </c>
      <c r="D230" s="15" t="n">
        <f aca="false">IF($A230="","",MOD($A230-1,12)+1)</f>
        <v>12</v>
      </c>
      <c r="E230" s="16" t="n">
        <f aca="false">IF($A230&gt;PARAMETROS!$C$33,"",P229)</f>
        <v>0</v>
      </c>
      <c r="F230" s="17" t="n">
        <f aca="false">IF($A230&gt;PARAMETROS!$C$33,"",PARAMETROS!$C$38)</f>
        <v>0.00495440818448101</v>
      </c>
      <c r="G230" s="16" t="n">
        <f aca="false">IF($A230&gt;PARAMETROS!$C$33,"",E230*F230)</f>
        <v>0</v>
      </c>
      <c r="H230" s="16" t="n">
        <f aca="false">IF($A230&gt;PARAMETROS!$C$33,"",E230*PARAMETROS!$C$39)</f>
        <v>0</v>
      </c>
      <c r="I230" s="16" t="n">
        <f aca="false">IF($A230&gt;PARAMETROS!$C$33,"",G230-H230)</f>
        <v>0</v>
      </c>
      <c r="J230" s="16" t="n">
        <f aca="false">IF($A230&gt;PARAMETROS!$C$33,"",PARAMETROS!$C$9*(1+PARAMETROS!$C$17)^(B230-1))</f>
        <v>60146.4611127623</v>
      </c>
      <c r="K230" s="16" t="n">
        <f aca="false">IF($A230&gt;PARAMETROS!$C$33,"",K229*(1+PARAMETROS!$C$36))</f>
        <v>55647.9518725509</v>
      </c>
      <c r="L230" s="16" t="n">
        <f aca="false">IF($A230&gt;PARAMETROS!$C$33,"",L229*(1+PARAMETROS!$C$37)*(1+M230))</f>
        <v>23523.6472634919</v>
      </c>
      <c r="M230" s="17" t="n">
        <f aca="false">IF($A230&gt;PARAMETROS!$C$33,"",IF(C230&lt;70,PARAMETROS!$C$40,IF(C230&lt;75,PARAMETROS!$C$41,IF(C230&lt;80,PARAMETROS!$C$42,IF(C230&lt;85,PARAMETROS!$C$43,IF(C230&lt;90,PARAMETROS!$C$44,PARAMETROS!$C$45))))))</f>
        <v>0.000829538114346162</v>
      </c>
      <c r="N230" s="16" t="n">
        <f aca="false">IF($A230&gt;PARAMETROS!$C$33,"",K230+L230)</f>
        <v>79171.5991360427</v>
      </c>
      <c r="O230" s="16" t="n">
        <f aca="false">IF($A230&gt;PARAMETROS!$C$33,"",I230+J230-N230)</f>
        <v>-19025.1380232805</v>
      </c>
      <c r="P230" s="16" t="n">
        <f aca="false">IF($A230&gt;PARAMETROS!$C$33,"",MAX(E230+I230+J230-N230,0))</f>
        <v>0</v>
      </c>
      <c r="Q230" s="18" t="str">
        <f aca="false">IF($A230&gt;PARAMETROS!$C$33,"",IF(P230&lt;=0,"AGOTADO","OK"))</f>
        <v>AGOTADO</v>
      </c>
    </row>
    <row r="231" customFormat="false" ht="15" hidden="false" customHeight="false" outlineLevel="0" collapsed="false">
      <c r="A231" s="19" t="n">
        <f aca="false">A230+1</f>
        <v>229</v>
      </c>
      <c r="B231" s="19" t="n">
        <f aca="false">IF($A231="","",ROUNDUP($A231/12,0))</f>
        <v>20</v>
      </c>
      <c r="C231" s="19" t="n">
        <f aca="false">IF($A231="","",PARAMETROS!$C$6+INT(($A231-1)/12))</f>
        <v>84</v>
      </c>
      <c r="D231" s="19" t="n">
        <f aca="false">IF($A231="","",MOD($A231-1,12)+1)</f>
        <v>1</v>
      </c>
      <c r="E231" s="20" t="n">
        <f aca="false">IF($A231&gt;PARAMETROS!$C$33,"",P230)</f>
        <v>0</v>
      </c>
      <c r="F231" s="21" t="n">
        <f aca="false">IF($A231&gt;PARAMETROS!$C$33,"",PARAMETROS!$C$38)</f>
        <v>0.00495440818448101</v>
      </c>
      <c r="G231" s="20" t="n">
        <f aca="false">IF($A231&gt;PARAMETROS!$C$33,"",E231*F231)</f>
        <v>0</v>
      </c>
      <c r="H231" s="20" t="n">
        <f aca="false">IF($A231&gt;PARAMETROS!$C$33,"",E231*PARAMETROS!$C$39)</f>
        <v>0</v>
      </c>
      <c r="I231" s="20" t="n">
        <f aca="false">IF($A231&gt;PARAMETROS!$C$33,"",G231-H231)</f>
        <v>0</v>
      </c>
      <c r="J231" s="20" t="n">
        <f aca="false">IF($A231&gt;PARAMETROS!$C$33,"",PARAMETROS!$C$9*(1+PARAMETROS!$C$17)^(B231-1))</f>
        <v>62516.2316806051</v>
      </c>
      <c r="K231" s="20" t="n">
        <f aca="false">IF($A231&gt;PARAMETROS!$C$33,"",K230*(1+PARAMETROS!$C$36))</f>
        <v>55838.6214567094</v>
      </c>
      <c r="L231" s="20" t="n">
        <f aca="false">IF($A231&gt;PARAMETROS!$C$33,"",L230*(1+PARAMETROS!$C$37)*(1+M231))</f>
        <v>23636.0748914502</v>
      </c>
      <c r="M231" s="21" t="n">
        <f aca="false">IF($A231&gt;PARAMETROS!$C$33,"",IF(C231&lt;70,PARAMETROS!$C$40,IF(C231&lt;75,PARAMETROS!$C$41,IF(C231&lt;80,PARAMETROS!$C$42,IF(C231&lt;85,PARAMETROS!$C$43,IF(C231&lt;90,PARAMETROS!$C$44,PARAMETROS!$C$45))))))</f>
        <v>0.000829538114346162</v>
      </c>
      <c r="N231" s="20" t="n">
        <f aca="false">IF($A231&gt;PARAMETROS!$C$33,"",K231+L231)</f>
        <v>79474.6963481597</v>
      </c>
      <c r="O231" s="20" t="n">
        <f aca="false">IF($A231&gt;PARAMETROS!$C$33,"",I231+J231-N231)</f>
        <v>-16958.4646675545</v>
      </c>
      <c r="P231" s="20" t="n">
        <f aca="false">IF($A231&gt;PARAMETROS!$C$33,"",MAX(E231+I231+J231-N231,0))</f>
        <v>0</v>
      </c>
      <c r="Q231" s="22" t="str">
        <f aca="false">IF($A231&gt;PARAMETROS!$C$33,"",IF(P231&lt;=0,"AGOTADO","OK"))</f>
        <v>AGOTADO</v>
      </c>
    </row>
    <row r="232" customFormat="false" ht="15" hidden="false" customHeight="false" outlineLevel="0" collapsed="false">
      <c r="A232" s="19" t="n">
        <f aca="false">A231+1</f>
        <v>230</v>
      </c>
      <c r="B232" s="19" t="n">
        <f aca="false">IF($A232="","",ROUNDUP($A232/12,0))</f>
        <v>20</v>
      </c>
      <c r="C232" s="19" t="n">
        <f aca="false">IF($A232="","",PARAMETROS!$C$6+INT(($A232-1)/12))</f>
        <v>84</v>
      </c>
      <c r="D232" s="19" t="n">
        <f aca="false">IF($A232="","",MOD($A232-1,12)+1)</f>
        <v>2</v>
      </c>
      <c r="E232" s="20" t="n">
        <f aca="false">IF($A232&gt;PARAMETROS!$C$33,"",P231)</f>
        <v>0</v>
      </c>
      <c r="F232" s="21" t="n">
        <f aca="false">IF($A232&gt;PARAMETROS!$C$33,"",PARAMETROS!$C$38)</f>
        <v>0.00495440818448101</v>
      </c>
      <c r="G232" s="20" t="n">
        <f aca="false">IF($A232&gt;PARAMETROS!$C$33,"",E232*F232)</f>
        <v>0</v>
      </c>
      <c r="H232" s="20" t="n">
        <f aca="false">IF($A232&gt;PARAMETROS!$C$33,"",E232*PARAMETROS!$C$39)</f>
        <v>0</v>
      </c>
      <c r="I232" s="20" t="n">
        <f aca="false">IF($A232&gt;PARAMETROS!$C$33,"",G232-H232)</f>
        <v>0</v>
      </c>
      <c r="J232" s="20" t="n">
        <f aca="false">IF($A232&gt;PARAMETROS!$C$33,"",PARAMETROS!$C$9*(1+PARAMETROS!$C$17)^(B232-1))</f>
        <v>62516.2316806051</v>
      </c>
      <c r="K232" s="20" t="n">
        <f aca="false">IF($A232&gt;PARAMETROS!$C$33,"",K231*(1+PARAMETROS!$C$36))</f>
        <v>56029.9443423661</v>
      </c>
      <c r="L232" s="20" t="n">
        <f aca="false">IF($A232&gt;PARAMETROS!$C$33,"",L231*(1+PARAMETROS!$C$37)*(1+M232))</f>
        <v>23749.0398498399</v>
      </c>
      <c r="M232" s="21" t="n">
        <f aca="false">IF($A232&gt;PARAMETROS!$C$33,"",IF(C232&lt;70,PARAMETROS!$C$40,IF(C232&lt;75,PARAMETROS!$C$41,IF(C232&lt;80,PARAMETROS!$C$42,IF(C232&lt;85,PARAMETROS!$C$43,IF(C232&lt;90,PARAMETROS!$C$44,PARAMETROS!$C$45))))))</f>
        <v>0.000829538114346162</v>
      </c>
      <c r="N232" s="20" t="n">
        <f aca="false">IF($A232&gt;PARAMETROS!$C$33,"",K232+L232)</f>
        <v>79778.9841922059</v>
      </c>
      <c r="O232" s="20" t="n">
        <f aca="false">IF($A232&gt;PARAMETROS!$C$33,"",I232+J232-N232)</f>
        <v>-17262.7525116008</v>
      </c>
      <c r="P232" s="20" t="n">
        <f aca="false">IF($A232&gt;PARAMETROS!$C$33,"",MAX(E232+I232+J232-N232,0))</f>
        <v>0</v>
      </c>
      <c r="Q232" s="22" t="str">
        <f aca="false">IF($A232&gt;PARAMETROS!$C$33,"",IF(P232&lt;=0,"AGOTADO","OK"))</f>
        <v>AGOTADO</v>
      </c>
    </row>
    <row r="233" customFormat="false" ht="15" hidden="false" customHeight="false" outlineLevel="0" collapsed="false">
      <c r="A233" s="19" t="n">
        <f aca="false">A232+1</f>
        <v>231</v>
      </c>
      <c r="B233" s="19" t="n">
        <f aca="false">IF($A233="","",ROUNDUP($A233/12,0))</f>
        <v>20</v>
      </c>
      <c r="C233" s="19" t="n">
        <f aca="false">IF($A233="","",PARAMETROS!$C$6+INT(($A233-1)/12))</f>
        <v>84</v>
      </c>
      <c r="D233" s="19" t="n">
        <f aca="false">IF($A233="","",MOD($A233-1,12)+1)</f>
        <v>3</v>
      </c>
      <c r="E233" s="20" t="n">
        <f aca="false">IF($A233&gt;PARAMETROS!$C$33,"",P232)</f>
        <v>0</v>
      </c>
      <c r="F233" s="21" t="n">
        <f aca="false">IF($A233&gt;PARAMETROS!$C$33,"",PARAMETROS!$C$38)</f>
        <v>0.00495440818448101</v>
      </c>
      <c r="G233" s="20" t="n">
        <f aca="false">IF($A233&gt;PARAMETROS!$C$33,"",E233*F233)</f>
        <v>0</v>
      </c>
      <c r="H233" s="20" t="n">
        <f aca="false">IF($A233&gt;PARAMETROS!$C$33,"",E233*PARAMETROS!$C$39)</f>
        <v>0</v>
      </c>
      <c r="I233" s="20" t="n">
        <f aca="false">IF($A233&gt;PARAMETROS!$C$33,"",G233-H233)</f>
        <v>0</v>
      </c>
      <c r="J233" s="20" t="n">
        <f aca="false">IF($A233&gt;PARAMETROS!$C$33,"",PARAMETROS!$C$9*(1+PARAMETROS!$C$17)^(B233-1))</f>
        <v>62516.2316806051</v>
      </c>
      <c r="K233" s="20" t="n">
        <f aca="false">IF($A233&gt;PARAMETROS!$C$33,"",K232*(1+PARAMETROS!$C$36))</f>
        <v>56221.922767963</v>
      </c>
      <c r="L233" s="20" t="n">
        <f aca="false">IF($A233&gt;PARAMETROS!$C$33,"",L232*(1+PARAMETROS!$C$37)*(1+M233))</f>
        <v>23862.5447067483</v>
      </c>
      <c r="M233" s="21" t="n">
        <f aca="false">IF($A233&gt;PARAMETROS!$C$33,"",IF(C233&lt;70,PARAMETROS!$C$40,IF(C233&lt;75,PARAMETROS!$C$41,IF(C233&lt;80,PARAMETROS!$C$42,IF(C233&lt;85,PARAMETROS!$C$43,IF(C233&lt;90,PARAMETROS!$C$44,PARAMETROS!$C$45))))))</f>
        <v>0.000829538114346162</v>
      </c>
      <c r="N233" s="20" t="n">
        <f aca="false">IF($A233&gt;PARAMETROS!$C$33,"",K233+L233)</f>
        <v>80084.4674747113</v>
      </c>
      <c r="O233" s="20" t="n">
        <f aca="false">IF($A233&gt;PARAMETROS!$C$33,"",I233+J233-N233)</f>
        <v>-17568.2357941061</v>
      </c>
      <c r="P233" s="20" t="n">
        <f aca="false">IF($A233&gt;PARAMETROS!$C$33,"",MAX(E233+I233+J233-N233,0))</f>
        <v>0</v>
      </c>
      <c r="Q233" s="22" t="str">
        <f aca="false">IF($A233&gt;PARAMETROS!$C$33,"",IF(P233&lt;=0,"AGOTADO","OK"))</f>
        <v>AGOTADO</v>
      </c>
    </row>
    <row r="234" customFormat="false" ht="15" hidden="false" customHeight="false" outlineLevel="0" collapsed="false">
      <c r="A234" s="19" t="n">
        <f aca="false">A233+1</f>
        <v>232</v>
      </c>
      <c r="B234" s="19" t="n">
        <f aca="false">IF($A234="","",ROUNDUP($A234/12,0))</f>
        <v>20</v>
      </c>
      <c r="C234" s="19" t="n">
        <f aca="false">IF($A234="","",PARAMETROS!$C$6+INT(($A234-1)/12))</f>
        <v>84</v>
      </c>
      <c r="D234" s="19" t="n">
        <f aca="false">IF($A234="","",MOD($A234-1,12)+1)</f>
        <v>4</v>
      </c>
      <c r="E234" s="20" t="n">
        <f aca="false">IF($A234&gt;PARAMETROS!$C$33,"",P233)</f>
        <v>0</v>
      </c>
      <c r="F234" s="21" t="n">
        <f aca="false">IF($A234&gt;PARAMETROS!$C$33,"",PARAMETROS!$C$38)</f>
        <v>0.00495440818448101</v>
      </c>
      <c r="G234" s="20" t="n">
        <f aca="false">IF($A234&gt;PARAMETROS!$C$33,"",E234*F234)</f>
        <v>0</v>
      </c>
      <c r="H234" s="20" t="n">
        <f aca="false">IF($A234&gt;PARAMETROS!$C$33,"",E234*PARAMETROS!$C$39)</f>
        <v>0</v>
      </c>
      <c r="I234" s="20" t="n">
        <f aca="false">IF($A234&gt;PARAMETROS!$C$33,"",G234-H234)</f>
        <v>0</v>
      </c>
      <c r="J234" s="20" t="n">
        <f aca="false">IF($A234&gt;PARAMETROS!$C$33,"",PARAMETROS!$C$9*(1+PARAMETROS!$C$17)^(B234-1))</f>
        <v>62516.2316806051</v>
      </c>
      <c r="K234" s="20" t="n">
        <f aca="false">IF($A234&gt;PARAMETROS!$C$33,"",K233*(1+PARAMETROS!$C$36))</f>
        <v>56414.5589796121</v>
      </c>
      <c r="L234" s="20" t="n">
        <f aca="false">IF($A234&gt;PARAMETROS!$C$33,"",L233*(1+PARAMETROS!$C$37)*(1+M234))</f>
        <v>23976.5920425368</v>
      </c>
      <c r="M234" s="21" t="n">
        <f aca="false">IF($A234&gt;PARAMETROS!$C$33,"",IF(C234&lt;70,PARAMETROS!$C$40,IF(C234&lt;75,PARAMETROS!$C$41,IF(C234&lt;80,PARAMETROS!$C$42,IF(C234&lt;85,PARAMETROS!$C$43,IF(C234&lt;90,PARAMETROS!$C$44,PARAMETROS!$C$45))))))</f>
        <v>0.000829538114346162</v>
      </c>
      <c r="N234" s="20" t="n">
        <f aca="false">IF($A234&gt;PARAMETROS!$C$33,"",K234+L234)</f>
        <v>80391.1510221489</v>
      </c>
      <c r="O234" s="20" t="n">
        <f aca="false">IF($A234&gt;PARAMETROS!$C$33,"",I234+J234-N234)</f>
        <v>-17874.9193415438</v>
      </c>
      <c r="P234" s="20" t="n">
        <f aca="false">IF($A234&gt;PARAMETROS!$C$33,"",MAX(E234+I234+J234-N234,0))</f>
        <v>0</v>
      </c>
      <c r="Q234" s="22" t="str">
        <f aca="false">IF($A234&gt;PARAMETROS!$C$33,"",IF(P234&lt;=0,"AGOTADO","OK"))</f>
        <v>AGOTADO</v>
      </c>
    </row>
    <row r="235" customFormat="false" ht="15" hidden="false" customHeight="false" outlineLevel="0" collapsed="false">
      <c r="A235" s="19" t="n">
        <f aca="false">A234+1</f>
        <v>233</v>
      </c>
      <c r="B235" s="19" t="n">
        <f aca="false">IF($A235="","",ROUNDUP($A235/12,0))</f>
        <v>20</v>
      </c>
      <c r="C235" s="19" t="n">
        <f aca="false">IF($A235="","",PARAMETROS!$C$6+INT(($A235-1)/12))</f>
        <v>84</v>
      </c>
      <c r="D235" s="19" t="n">
        <f aca="false">IF($A235="","",MOD($A235-1,12)+1)</f>
        <v>5</v>
      </c>
      <c r="E235" s="20" t="n">
        <f aca="false">IF($A235&gt;PARAMETROS!$C$33,"",P234)</f>
        <v>0</v>
      </c>
      <c r="F235" s="21" t="n">
        <f aca="false">IF($A235&gt;PARAMETROS!$C$33,"",PARAMETROS!$C$38)</f>
        <v>0.00495440818448101</v>
      </c>
      <c r="G235" s="20" t="n">
        <f aca="false">IF($A235&gt;PARAMETROS!$C$33,"",E235*F235)</f>
        <v>0</v>
      </c>
      <c r="H235" s="20" t="n">
        <f aca="false">IF($A235&gt;PARAMETROS!$C$33,"",E235*PARAMETROS!$C$39)</f>
        <v>0</v>
      </c>
      <c r="I235" s="20" t="n">
        <f aca="false">IF($A235&gt;PARAMETROS!$C$33,"",G235-H235)</f>
        <v>0</v>
      </c>
      <c r="J235" s="20" t="n">
        <f aca="false">IF($A235&gt;PARAMETROS!$C$33,"",PARAMETROS!$C$9*(1+PARAMETROS!$C$17)^(B235-1))</f>
        <v>62516.2316806051</v>
      </c>
      <c r="K235" s="20" t="n">
        <f aca="false">IF($A235&gt;PARAMETROS!$C$33,"",K234*(1+PARAMETROS!$C$36))</f>
        <v>56607.8552311213</v>
      </c>
      <c r="L235" s="20" t="n">
        <f aca="false">IF($A235&gt;PARAMETROS!$C$33,"",L234*(1+PARAMETROS!$C$37)*(1+M235))</f>
        <v>24091.1844498993</v>
      </c>
      <c r="M235" s="21" t="n">
        <f aca="false">IF($A235&gt;PARAMETROS!$C$33,"",IF(C235&lt;70,PARAMETROS!$C$40,IF(C235&lt;75,PARAMETROS!$C$41,IF(C235&lt;80,PARAMETROS!$C$42,IF(C235&lt;85,PARAMETROS!$C$43,IF(C235&lt;90,PARAMETROS!$C$44,PARAMETROS!$C$45))))))</f>
        <v>0.000829538114346162</v>
      </c>
      <c r="N235" s="20" t="n">
        <f aca="false">IF($A235&gt;PARAMETROS!$C$33,"",K235+L235)</f>
        <v>80699.0396810206</v>
      </c>
      <c r="O235" s="20" t="n">
        <f aca="false">IF($A235&gt;PARAMETROS!$C$33,"",I235+J235-N235)</f>
        <v>-18182.8080004155</v>
      </c>
      <c r="P235" s="20" t="n">
        <f aca="false">IF($A235&gt;PARAMETROS!$C$33,"",MAX(E235+I235+J235-N235,0))</f>
        <v>0</v>
      </c>
      <c r="Q235" s="22" t="str">
        <f aca="false">IF($A235&gt;PARAMETROS!$C$33,"",IF(P235&lt;=0,"AGOTADO","OK"))</f>
        <v>AGOTADO</v>
      </c>
    </row>
    <row r="236" customFormat="false" ht="15" hidden="false" customHeight="false" outlineLevel="0" collapsed="false">
      <c r="A236" s="19" t="n">
        <f aca="false">A235+1</f>
        <v>234</v>
      </c>
      <c r="B236" s="19" t="n">
        <f aca="false">IF($A236="","",ROUNDUP($A236/12,0))</f>
        <v>20</v>
      </c>
      <c r="C236" s="19" t="n">
        <f aca="false">IF($A236="","",PARAMETROS!$C$6+INT(($A236-1)/12))</f>
        <v>84</v>
      </c>
      <c r="D236" s="19" t="n">
        <f aca="false">IF($A236="","",MOD($A236-1,12)+1)</f>
        <v>6</v>
      </c>
      <c r="E236" s="20" t="n">
        <f aca="false">IF($A236&gt;PARAMETROS!$C$33,"",P235)</f>
        <v>0</v>
      </c>
      <c r="F236" s="21" t="n">
        <f aca="false">IF($A236&gt;PARAMETROS!$C$33,"",PARAMETROS!$C$38)</f>
        <v>0.00495440818448101</v>
      </c>
      <c r="G236" s="20" t="n">
        <f aca="false">IF($A236&gt;PARAMETROS!$C$33,"",E236*F236)</f>
        <v>0</v>
      </c>
      <c r="H236" s="20" t="n">
        <f aca="false">IF($A236&gt;PARAMETROS!$C$33,"",E236*PARAMETROS!$C$39)</f>
        <v>0</v>
      </c>
      <c r="I236" s="20" t="n">
        <f aca="false">IF($A236&gt;PARAMETROS!$C$33,"",G236-H236)</f>
        <v>0</v>
      </c>
      <c r="J236" s="20" t="n">
        <f aca="false">IF($A236&gt;PARAMETROS!$C$33,"",PARAMETROS!$C$9*(1+PARAMETROS!$C$17)^(B236-1))</f>
        <v>62516.2316806051</v>
      </c>
      <c r="K236" s="20" t="n">
        <f aca="false">IF($A236&gt;PARAMETROS!$C$33,"",K235*(1+PARAMETROS!$C$36))</f>
        <v>56801.8137840209</v>
      </c>
      <c r="L236" s="20" t="n">
        <f aca="false">IF($A236&gt;PARAMETROS!$C$33,"",L235*(1+PARAMETROS!$C$37)*(1+M236))</f>
        <v>24206.3245339208</v>
      </c>
      <c r="M236" s="21" t="n">
        <f aca="false">IF($A236&gt;PARAMETROS!$C$33,"",IF(C236&lt;70,PARAMETROS!$C$40,IF(C236&lt;75,PARAMETROS!$C$41,IF(C236&lt;80,PARAMETROS!$C$42,IF(C236&lt;85,PARAMETROS!$C$43,IF(C236&lt;90,PARAMETROS!$C$44,PARAMETROS!$C$45))))))</f>
        <v>0.000829538114346162</v>
      </c>
      <c r="N236" s="20" t="n">
        <f aca="false">IF($A236&gt;PARAMETROS!$C$33,"",K236+L236)</f>
        <v>81008.1383179417</v>
      </c>
      <c r="O236" s="20" t="n">
        <f aca="false">IF($A236&gt;PARAMETROS!$C$33,"",I236+J236-N236)</f>
        <v>-18491.9066373366</v>
      </c>
      <c r="P236" s="20" t="n">
        <f aca="false">IF($A236&gt;PARAMETROS!$C$33,"",MAX(E236+I236+J236-N236,0))</f>
        <v>0</v>
      </c>
      <c r="Q236" s="22" t="str">
        <f aca="false">IF($A236&gt;PARAMETROS!$C$33,"",IF(P236&lt;=0,"AGOTADO","OK"))</f>
        <v>AGOTADO</v>
      </c>
    </row>
    <row r="237" customFormat="false" ht="15" hidden="false" customHeight="false" outlineLevel="0" collapsed="false">
      <c r="A237" s="19" t="n">
        <f aca="false">A236+1</f>
        <v>235</v>
      </c>
      <c r="B237" s="19" t="n">
        <f aca="false">IF($A237="","",ROUNDUP($A237/12,0))</f>
        <v>20</v>
      </c>
      <c r="C237" s="19" t="n">
        <f aca="false">IF($A237="","",PARAMETROS!$C$6+INT(($A237-1)/12))</f>
        <v>84</v>
      </c>
      <c r="D237" s="19" t="n">
        <f aca="false">IF($A237="","",MOD($A237-1,12)+1)</f>
        <v>7</v>
      </c>
      <c r="E237" s="20" t="n">
        <f aca="false">IF($A237&gt;PARAMETROS!$C$33,"",P236)</f>
        <v>0</v>
      </c>
      <c r="F237" s="21" t="n">
        <f aca="false">IF($A237&gt;PARAMETROS!$C$33,"",PARAMETROS!$C$38)</f>
        <v>0.00495440818448101</v>
      </c>
      <c r="G237" s="20" t="n">
        <f aca="false">IF($A237&gt;PARAMETROS!$C$33,"",E237*F237)</f>
        <v>0</v>
      </c>
      <c r="H237" s="20" t="n">
        <f aca="false">IF($A237&gt;PARAMETROS!$C$33,"",E237*PARAMETROS!$C$39)</f>
        <v>0</v>
      </c>
      <c r="I237" s="20" t="n">
        <f aca="false">IF($A237&gt;PARAMETROS!$C$33,"",G237-H237)</f>
        <v>0</v>
      </c>
      <c r="J237" s="20" t="n">
        <f aca="false">IF($A237&gt;PARAMETROS!$C$33,"",PARAMETROS!$C$9*(1+PARAMETROS!$C$17)^(B237-1))</f>
        <v>62516.2316806051</v>
      </c>
      <c r="K237" s="20" t="n">
        <f aca="false">IF($A237&gt;PARAMETROS!$C$33,"",K236*(1+PARAMETROS!$C$36))</f>
        <v>56996.4369075899</v>
      </c>
      <c r="L237" s="20" t="n">
        <f aca="false">IF($A237&gt;PARAMETROS!$C$33,"",L236*(1+PARAMETROS!$C$37)*(1+M237))</f>
        <v>24322.014912137</v>
      </c>
      <c r="M237" s="21" t="n">
        <f aca="false">IF($A237&gt;PARAMETROS!$C$33,"",IF(C237&lt;70,PARAMETROS!$C$40,IF(C237&lt;75,PARAMETROS!$C$41,IF(C237&lt;80,PARAMETROS!$C$42,IF(C237&lt;85,PARAMETROS!$C$43,IF(C237&lt;90,PARAMETROS!$C$44,PARAMETROS!$C$45))))))</f>
        <v>0.000829538114346162</v>
      </c>
      <c r="N237" s="20" t="n">
        <f aca="false">IF($A237&gt;PARAMETROS!$C$33,"",K237+L237)</f>
        <v>81318.4518197269</v>
      </c>
      <c r="O237" s="20" t="n">
        <f aca="false">IF($A237&gt;PARAMETROS!$C$33,"",I237+J237-N237)</f>
        <v>-18802.2201391218</v>
      </c>
      <c r="P237" s="20" t="n">
        <f aca="false">IF($A237&gt;PARAMETROS!$C$33,"",MAX(E237+I237+J237-N237,0))</f>
        <v>0</v>
      </c>
      <c r="Q237" s="22" t="str">
        <f aca="false">IF($A237&gt;PARAMETROS!$C$33,"",IF(P237&lt;=0,"AGOTADO","OK"))</f>
        <v>AGOTADO</v>
      </c>
    </row>
    <row r="238" customFormat="false" ht="15" hidden="false" customHeight="false" outlineLevel="0" collapsed="false">
      <c r="A238" s="19" t="n">
        <f aca="false">A237+1</f>
        <v>236</v>
      </c>
      <c r="B238" s="19" t="n">
        <f aca="false">IF($A238="","",ROUNDUP($A238/12,0))</f>
        <v>20</v>
      </c>
      <c r="C238" s="19" t="n">
        <f aca="false">IF($A238="","",PARAMETROS!$C$6+INT(($A238-1)/12))</f>
        <v>84</v>
      </c>
      <c r="D238" s="19" t="n">
        <f aca="false">IF($A238="","",MOD($A238-1,12)+1)</f>
        <v>8</v>
      </c>
      <c r="E238" s="20" t="n">
        <f aca="false">IF($A238&gt;PARAMETROS!$C$33,"",P237)</f>
        <v>0</v>
      </c>
      <c r="F238" s="21" t="n">
        <f aca="false">IF($A238&gt;PARAMETROS!$C$33,"",PARAMETROS!$C$38)</f>
        <v>0.00495440818448101</v>
      </c>
      <c r="G238" s="20" t="n">
        <f aca="false">IF($A238&gt;PARAMETROS!$C$33,"",E238*F238)</f>
        <v>0</v>
      </c>
      <c r="H238" s="20" t="n">
        <f aca="false">IF($A238&gt;PARAMETROS!$C$33,"",E238*PARAMETROS!$C$39)</f>
        <v>0</v>
      </c>
      <c r="I238" s="20" t="n">
        <f aca="false">IF($A238&gt;PARAMETROS!$C$33,"",G238-H238)</f>
        <v>0</v>
      </c>
      <c r="J238" s="20" t="n">
        <f aca="false">IF($A238&gt;PARAMETROS!$C$33,"",PARAMETROS!$C$9*(1+PARAMETROS!$C$17)^(B238-1))</f>
        <v>62516.2316806051</v>
      </c>
      <c r="K238" s="20" t="n">
        <f aca="false">IF($A238&gt;PARAMETROS!$C$33,"",K237*(1+PARAMETROS!$C$36))</f>
        <v>57191.7268788826</v>
      </c>
      <c r="L238" s="20" t="n">
        <f aca="false">IF($A238&gt;PARAMETROS!$C$33,"",L237*(1+PARAMETROS!$C$37)*(1+M238))</f>
        <v>24438.258214594</v>
      </c>
      <c r="M238" s="21" t="n">
        <f aca="false">IF($A238&gt;PARAMETROS!$C$33,"",IF(C238&lt;70,PARAMETROS!$C$40,IF(C238&lt;75,PARAMETROS!$C$41,IF(C238&lt;80,PARAMETROS!$C$42,IF(C238&lt;85,PARAMETROS!$C$43,IF(C238&lt;90,PARAMETROS!$C$44,PARAMETROS!$C$45))))))</f>
        <v>0.000829538114346162</v>
      </c>
      <c r="N238" s="20" t="n">
        <f aca="false">IF($A238&gt;PARAMETROS!$C$33,"",K238+L238)</f>
        <v>81629.9850934766</v>
      </c>
      <c r="O238" s="20" t="n">
        <f aca="false">IF($A238&gt;PARAMETROS!$C$33,"",I238+J238-N238)</f>
        <v>-19113.7534128714</v>
      </c>
      <c r="P238" s="20" t="n">
        <f aca="false">IF($A238&gt;PARAMETROS!$C$33,"",MAX(E238+I238+J238-N238,0))</f>
        <v>0</v>
      </c>
      <c r="Q238" s="22" t="str">
        <f aca="false">IF($A238&gt;PARAMETROS!$C$33,"",IF(P238&lt;=0,"AGOTADO","OK"))</f>
        <v>AGOTADO</v>
      </c>
    </row>
    <row r="239" customFormat="false" ht="15" hidden="false" customHeight="false" outlineLevel="0" collapsed="false">
      <c r="A239" s="19" t="n">
        <f aca="false">A238+1</f>
        <v>237</v>
      </c>
      <c r="B239" s="19" t="n">
        <f aca="false">IF($A239="","",ROUNDUP($A239/12,0))</f>
        <v>20</v>
      </c>
      <c r="C239" s="19" t="n">
        <f aca="false">IF($A239="","",PARAMETROS!$C$6+INT(($A239-1)/12))</f>
        <v>84</v>
      </c>
      <c r="D239" s="19" t="n">
        <f aca="false">IF($A239="","",MOD($A239-1,12)+1)</f>
        <v>9</v>
      </c>
      <c r="E239" s="20" t="n">
        <f aca="false">IF($A239&gt;PARAMETROS!$C$33,"",P238)</f>
        <v>0</v>
      </c>
      <c r="F239" s="21" t="n">
        <f aca="false">IF($A239&gt;PARAMETROS!$C$33,"",PARAMETROS!$C$38)</f>
        <v>0.00495440818448101</v>
      </c>
      <c r="G239" s="20" t="n">
        <f aca="false">IF($A239&gt;PARAMETROS!$C$33,"",E239*F239)</f>
        <v>0</v>
      </c>
      <c r="H239" s="20" t="n">
        <f aca="false">IF($A239&gt;PARAMETROS!$C$33,"",E239*PARAMETROS!$C$39)</f>
        <v>0</v>
      </c>
      <c r="I239" s="20" t="n">
        <f aca="false">IF($A239&gt;PARAMETROS!$C$33,"",G239-H239)</f>
        <v>0</v>
      </c>
      <c r="J239" s="20" t="n">
        <f aca="false">IF($A239&gt;PARAMETROS!$C$33,"",PARAMETROS!$C$9*(1+PARAMETROS!$C$17)^(B239-1))</f>
        <v>62516.2316806051</v>
      </c>
      <c r="K239" s="20" t="n">
        <f aca="false">IF($A239&gt;PARAMETROS!$C$33,"",K238*(1+PARAMETROS!$C$36))</f>
        <v>57387.6859827555</v>
      </c>
      <c r="L239" s="20" t="n">
        <f aca="false">IF($A239&gt;PARAMETROS!$C$33,"",L238*(1+PARAMETROS!$C$37)*(1+M239))</f>
        <v>24555.0570839073</v>
      </c>
      <c r="M239" s="21" t="n">
        <f aca="false">IF($A239&gt;PARAMETROS!$C$33,"",IF(C239&lt;70,PARAMETROS!$C$40,IF(C239&lt;75,PARAMETROS!$C$41,IF(C239&lt;80,PARAMETROS!$C$42,IF(C239&lt;85,PARAMETROS!$C$43,IF(C239&lt;90,PARAMETROS!$C$44,PARAMETROS!$C$45))))))</f>
        <v>0.000829538114346162</v>
      </c>
      <c r="N239" s="20" t="n">
        <f aca="false">IF($A239&gt;PARAMETROS!$C$33,"",K239+L239)</f>
        <v>81942.7430666628</v>
      </c>
      <c r="O239" s="20" t="n">
        <f aca="false">IF($A239&gt;PARAMETROS!$C$33,"",I239+J239-N239)</f>
        <v>-19426.5113860576</v>
      </c>
      <c r="P239" s="20" t="n">
        <f aca="false">IF($A239&gt;PARAMETROS!$C$33,"",MAX(E239+I239+J239-N239,0))</f>
        <v>0</v>
      </c>
      <c r="Q239" s="22" t="str">
        <f aca="false">IF($A239&gt;PARAMETROS!$C$33,"",IF(P239&lt;=0,"AGOTADO","OK"))</f>
        <v>AGOTADO</v>
      </c>
    </row>
    <row r="240" customFormat="false" ht="15" hidden="false" customHeight="false" outlineLevel="0" collapsed="false">
      <c r="A240" s="19" t="n">
        <f aca="false">A239+1</f>
        <v>238</v>
      </c>
      <c r="B240" s="19" t="n">
        <f aca="false">IF($A240="","",ROUNDUP($A240/12,0))</f>
        <v>20</v>
      </c>
      <c r="C240" s="19" t="n">
        <f aca="false">IF($A240="","",PARAMETROS!$C$6+INT(($A240-1)/12))</f>
        <v>84</v>
      </c>
      <c r="D240" s="19" t="n">
        <f aca="false">IF($A240="","",MOD($A240-1,12)+1)</f>
        <v>10</v>
      </c>
      <c r="E240" s="20" t="n">
        <f aca="false">IF($A240&gt;PARAMETROS!$C$33,"",P239)</f>
        <v>0</v>
      </c>
      <c r="F240" s="21" t="n">
        <f aca="false">IF($A240&gt;PARAMETROS!$C$33,"",PARAMETROS!$C$38)</f>
        <v>0.00495440818448101</v>
      </c>
      <c r="G240" s="20" t="n">
        <f aca="false">IF($A240&gt;PARAMETROS!$C$33,"",E240*F240)</f>
        <v>0</v>
      </c>
      <c r="H240" s="20" t="n">
        <f aca="false">IF($A240&gt;PARAMETROS!$C$33,"",E240*PARAMETROS!$C$39)</f>
        <v>0</v>
      </c>
      <c r="I240" s="20" t="n">
        <f aca="false">IF($A240&gt;PARAMETROS!$C$33,"",G240-H240)</f>
        <v>0</v>
      </c>
      <c r="J240" s="20" t="n">
        <f aca="false">IF($A240&gt;PARAMETROS!$C$33,"",PARAMETROS!$C$9*(1+PARAMETROS!$C$17)^(B240-1))</f>
        <v>62516.2316806051</v>
      </c>
      <c r="K240" s="20" t="n">
        <f aca="false">IF($A240&gt;PARAMETROS!$C$33,"",K239*(1+PARAMETROS!$C$36))</f>
        <v>57584.3165118936</v>
      </c>
      <c r="L240" s="20" t="n">
        <f aca="false">IF($A240&gt;PARAMETROS!$C$33,"",L239*(1+PARAMETROS!$C$37)*(1+M240))</f>
        <v>24672.4141753228</v>
      </c>
      <c r="M240" s="21" t="n">
        <f aca="false">IF($A240&gt;PARAMETROS!$C$33,"",IF(C240&lt;70,PARAMETROS!$C$40,IF(C240&lt;75,PARAMETROS!$C$41,IF(C240&lt;80,PARAMETROS!$C$42,IF(C240&lt;85,PARAMETROS!$C$43,IF(C240&lt;90,PARAMETROS!$C$44,PARAMETROS!$C$45))))))</f>
        <v>0.000829538114346162</v>
      </c>
      <c r="N240" s="20" t="n">
        <f aca="false">IF($A240&gt;PARAMETROS!$C$33,"",K240+L240)</f>
        <v>82256.7306872164</v>
      </c>
      <c r="O240" s="20" t="n">
        <f aca="false">IF($A240&gt;PARAMETROS!$C$33,"",I240+J240-N240)</f>
        <v>-19740.4990066112</v>
      </c>
      <c r="P240" s="20" t="n">
        <f aca="false">IF($A240&gt;PARAMETROS!$C$33,"",MAX(E240+I240+J240-N240,0))</f>
        <v>0</v>
      </c>
      <c r="Q240" s="22" t="str">
        <f aca="false">IF($A240&gt;PARAMETROS!$C$33,"",IF(P240&lt;=0,"AGOTADO","OK"))</f>
        <v>AGOTADO</v>
      </c>
    </row>
    <row r="241" customFormat="false" ht="15" hidden="false" customHeight="false" outlineLevel="0" collapsed="false">
      <c r="A241" s="19" t="n">
        <f aca="false">A240+1</f>
        <v>239</v>
      </c>
      <c r="B241" s="19" t="n">
        <f aca="false">IF($A241="","",ROUNDUP($A241/12,0))</f>
        <v>20</v>
      </c>
      <c r="C241" s="19" t="n">
        <f aca="false">IF($A241="","",PARAMETROS!$C$6+INT(($A241-1)/12))</f>
        <v>84</v>
      </c>
      <c r="D241" s="19" t="n">
        <f aca="false">IF($A241="","",MOD($A241-1,12)+1)</f>
        <v>11</v>
      </c>
      <c r="E241" s="20" t="n">
        <f aca="false">IF($A241&gt;PARAMETROS!$C$33,"",P240)</f>
        <v>0</v>
      </c>
      <c r="F241" s="21" t="n">
        <f aca="false">IF($A241&gt;PARAMETROS!$C$33,"",PARAMETROS!$C$38)</f>
        <v>0.00495440818448101</v>
      </c>
      <c r="G241" s="20" t="n">
        <f aca="false">IF($A241&gt;PARAMETROS!$C$33,"",E241*F241)</f>
        <v>0</v>
      </c>
      <c r="H241" s="20" t="n">
        <f aca="false">IF($A241&gt;PARAMETROS!$C$33,"",E241*PARAMETROS!$C$39)</f>
        <v>0</v>
      </c>
      <c r="I241" s="20" t="n">
        <f aca="false">IF($A241&gt;PARAMETROS!$C$33,"",G241-H241)</f>
        <v>0</v>
      </c>
      <c r="J241" s="20" t="n">
        <f aca="false">IF($A241&gt;PARAMETROS!$C$33,"",PARAMETROS!$C$9*(1+PARAMETROS!$C$17)^(B241-1))</f>
        <v>62516.2316806051</v>
      </c>
      <c r="K241" s="20" t="n">
        <f aca="false">IF($A241&gt;PARAMETROS!$C$33,"",K240*(1+PARAMETROS!$C$36))</f>
        <v>57781.6207668377</v>
      </c>
      <c r="L241" s="20" t="n">
        <f aca="false">IF($A241&gt;PARAMETROS!$C$33,"",L240*(1+PARAMETROS!$C$37)*(1+M241))</f>
        <v>24790.3321567764</v>
      </c>
      <c r="M241" s="21" t="n">
        <f aca="false">IF($A241&gt;PARAMETROS!$C$33,"",IF(C241&lt;70,PARAMETROS!$C$40,IF(C241&lt;75,PARAMETROS!$C$41,IF(C241&lt;80,PARAMETROS!$C$42,IF(C241&lt;85,PARAMETROS!$C$43,IF(C241&lt;90,PARAMETROS!$C$44,PARAMETROS!$C$45))))))</f>
        <v>0.000829538114346162</v>
      </c>
      <c r="N241" s="20" t="n">
        <f aca="false">IF($A241&gt;PARAMETROS!$C$33,"",K241+L241)</f>
        <v>82571.9529236141</v>
      </c>
      <c r="O241" s="20" t="n">
        <f aca="false">IF($A241&gt;PARAMETROS!$C$33,"",I241+J241-N241)</f>
        <v>-20055.7212430089</v>
      </c>
      <c r="P241" s="20" t="n">
        <f aca="false">IF($A241&gt;PARAMETROS!$C$33,"",MAX(E241+I241+J241-N241,0))</f>
        <v>0</v>
      </c>
      <c r="Q241" s="22" t="str">
        <f aca="false">IF($A241&gt;PARAMETROS!$C$33,"",IF(P241&lt;=0,"AGOTADO","OK"))</f>
        <v>AGOTADO</v>
      </c>
    </row>
    <row r="242" customFormat="false" ht="15" hidden="false" customHeight="false" outlineLevel="0" collapsed="false">
      <c r="A242" s="19" t="n">
        <f aca="false">A241+1</f>
        <v>240</v>
      </c>
      <c r="B242" s="19" t="n">
        <f aca="false">IF($A242="","",ROUNDUP($A242/12,0))</f>
        <v>20</v>
      </c>
      <c r="C242" s="19" t="n">
        <f aca="false">IF($A242="","",PARAMETROS!$C$6+INT(($A242-1)/12))</f>
        <v>84</v>
      </c>
      <c r="D242" s="19" t="n">
        <f aca="false">IF($A242="","",MOD($A242-1,12)+1)</f>
        <v>12</v>
      </c>
      <c r="E242" s="20" t="n">
        <f aca="false">IF($A242&gt;PARAMETROS!$C$33,"",P241)</f>
        <v>0</v>
      </c>
      <c r="F242" s="21" t="n">
        <f aca="false">IF($A242&gt;PARAMETROS!$C$33,"",PARAMETROS!$C$38)</f>
        <v>0.00495440818448101</v>
      </c>
      <c r="G242" s="20" t="n">
        <f aca="false">IF($A242&gt;PARAMETROS!$C$33,"",E242*F242)</f>
        <v>0</v>
      </c>
      <c r="H242" s="20" t="n">
        <f aca="false">IF($A242&gt;PARAMETROS!$C$33,"",E242*PARAMETROS!$C$39)</f>
        <v>0</v>
      </c>
      <c r="I242" s="20" t="n">
        <f aca="false">IF($A242&gt;PARAMETROS!$C$33,"",G242-H242)</f>
        <v>0</v>
      </c>
      <c r="J242" s="20" t="n">
        <f aca="false">IF($A242&gt;PARAMETROS!$C$33,"",PARAMETROS!$C$9*(1+PARAMETROS!$C$17)^(B242-1))</f>
        <v>62516.2316806051</v>
      </c>
      <c r="K242" s="20" t="n">
        <f aca="false">IF($A242&gt;PARAMETROS!$C$33,"",K241*(1+PARAMETROS!$C$36))</f>
        <v>57979.6010560108</v>
      </c>
      <c r="L242" s="20" t="n">
        <f aca="false">IF($A242&gt;PARAMETROS!$C$33,"",L241*(1+PARAMETROS!$C$37)*(1+M242))</f>
        <v>24908.8137089553</v>
      </c>
      <c r="M242" s="21" t="n">
        <f aca="false">IF($A242&gt;PARAMETROS!$C$33,"",IF(C242&lt;70,PARAMETROS!$C$40,IF(C242&lt;75,PARAMETROS!$C$41,IF(C242&lt;80,PARAMETROS!$C$42,IF(C242&lt;85,PARAMETROS!$C$43,IF(C242&lt;90,PARAMETROS!$C$44,PARAMETROS!$C$45))))))</f>
        <v>0.000829538114346162</v>
      </c>
      <c r="N242" s="20" t="n">
        <f aca="false">IF($A242&gt;PARAMETROS!$C$33,"",K242+L242)</f>
        <v>82888.4147649661</v>
      </c>
      <c r="O242" s="20" t="n">
        <f aca="false">IF($A242&gt;PARAMETROS!$C$33,"",I242+J242-N242)</f>
        <v>-20372.1830843609</v>
      </c>
      <c r="P242" s="20" t="n">
        <f aca="false">IF($A242&gt;PARAMETROS!$C$33,"",MAX(E242+I242+J242-N242,0))</f>
        <v>0</v>
      </c>
      <c r="Q242" s="22" t="str">
        <f aca="false">IF($A242&gt;PARAMETROS!$C$33,"",IF(P242&lt;=0,"AGOTADO","OK"))</f>
        <v>AGOTADO</v>
      </c>
    </row>
    <row r="243" customFormat="false" ht="15" hidden="false" customHeight="false" outlineLevel="0" collapsed="false">
      <c r="A243" s="15" t="n">
        <f aca="false">A242+1</f>
        <v>241</v>
      </c>
      <c r="B243" s="15" t="n">
        <f aca="false">IF($A243="","",ROUNDUP($A243/12,0))</f>
        <v>21</v>
      </c>
      <c r="C243" s="15" t="n">
        <f aca="false">IF($A243="","",PARAMETROS!$C$6+INT(($A243-1)/12))</f>
        <v>85</v>
      </c>
      <c r="D243" s="15" t="n">
        <f aca="false">IF($A243="","",MOD($A243-1,12)+1)</f>
        <v>1</v>
      </c>
      <c r="E243" s="16" t="n">
        <f aca="false">IF($A243&gt;PARAMETROS!$C$33,"",P242)</f>
        <v>0</v>
      </c>
      <c r="F243" s="17" t="n">
        <f aca="false">IF($A243&gt;PARAMETROS!$C$33,"",PARAMETROS!$C$38)</f>
        <v>0.00495440818448101</v>
      </c>
      <c r="G243" s="16" t="n">
        <f aca="false">IF($A243&gt;PARAMETROS!$C$33,"",E243*F243)</f>
        <v>0</v>
      </c>
      <c r="H243" s="16" t="n">
        <f aca="false">IF($A243&gt;PARAMETROS!$C$33,"",E243*PARAMETROS!$C$39)</f>
        <v>0</v>
      </c>
      <c r="I243" s="16" t="n">
        <f aca="false">IF($A243&gt;PARAMETROS!$C$33,"",G243-H243)</f>
        <v>0</v>
      </c>
      <c r="J243" s="16" t="n">
        <f aca="false">IF($A243&gt;PARAMETROS!$C$33,"",PARAMETROS!$C$9*(1+PARAMETROS!$C$17)^(B243-1))</f>
        <v>64979.371208821</v>
      </c>
      <c r="K243" s="16" t="n">
        <f aca="false">IF($A243&gt;PARAMETROS!$C$33,"",K242*(1+PARAMETROS!$C$36))</f>
        <v>58178.2596957456</v>
      </c>
      <c r="L243" s="16" t="n">
        <f aca="false">IF($A243&gt;PARAMETROS!$C$33,"",L242*(1+PARAMETROS!$C$37)*(1+M243))</f>
        <v>25017.512998368</v>
      </c>
      <c r="M243" s="17" t="n">
        <f aca="false">IF($A243&gt;PARAMETROS!$C$33,"",IF(C243&lt;70,PARAMETROS!$C$40,IF(C243&lt;75,PARAMETROS!$C$41,IF(C243&lt;80,PARAMETROS!$C$42,IF(C243&lt;85,PARAMETROS!$C$43,IF(C243&lt;90,PARAMETROS!$C$44,PARAMETROS!$C$45))))))</f>
        <v>0.00041571484472902</v>
      </c>
      <c r="N243" s="16" t="n">
        <f aca="false">IF($A243&gt;PARAMETROS!$C$33,"",K243+L243)</f>
        <v>83195.7726941136</v>
      </c>
      <c r="O243" s="16" t="n">
        <f aca="false">IF($A243&gt;PARAMETROS!$C$33,"",I243+J243-N243)</f>
        <v>-18216.4014852926</v>
      </c>
      <c r="P243" s="16" t="n">
        <f aca="false">IF($A243&gt;PARAMETROS!$C$33,"",MAX(E243+I243+J243-N243,0))</f>
        <v>0</v>
      </c>
      <c r="Q243" s="18" t="str">
        <f aca="false">IF($A243&gt;PARAMETROS!$C$33,"",IF(P243&lt;=0,"AGOTADO","OK"))</f>
        <v>AGOTADO</v>
      </c>
    </row>
    <row r="244" customFormat="false" ht="15" hidden="false" customHeight="false" outlineLevel="0" collapsed="false">
      <c r="A244" s="15" t="n">
        <f aca="false">A243+1</f>
        <v>242</v>
      </c>
      <c r="B244" s="15" t="n">
        <f aca="false">IF($A244="","",ROUNDUP($A244/12,0))</f>
        <v>21</v>
      </c>
      <c r="C244" s="15" t="n">
        <f aca="false">IF($A244="","",PARAMETROS!$C$6+INT(($A244-1)/12))</f>
        <v>85</v>
      </c>
      <c r="D244" s="15" t="n">
        <f aca="false">IF($A244="","",MOD($A244-1,12)+1)</f>
        <v>2</v>
      </c>
      <c r="E244" s="16" t="n">
        <f aca="false">IF($A244&gt;PARAMETROS!$C$33,"",P243)</f>
        <v>0</v>
      </c>
      <c r="F244" s="17" t="n">
        <f aca="false">IF($A244&gt;PARAMETROS!$C$33,"",PARAMETROS!$C$38)</f>
        <v>0.00495440818448101</v>
      </c>
      <c r="G244" s="16" t="n">
        <f aca="false">IF($A244&gt;PARAMETROS!$C$33,"",E244*F244)</f>
        <v>0</v>
      </c>
      <c r="H244" s="16" t="n">
        <f aca="false">IF($A244&gt;PARAMETROS!$C$33,"",E244*PARAMETROS!$C$39)</f>
        <v>0</v>
      </c>
      <c r="I244" s="16" t="n">
        <f aca="false">IF($A244&gt;PARAMETROS!$C$33,"",G244-H244)</f>
        <v>0</v>
      </c>
      <c r="J244" s="16" t="n">
        <f aca="false">IF($A244&gt;PARAMETROS!$C$33,"",PARAMETROS!$C$9*(1+PARAMETROS!$C$17)^(B244-1))</f>
        <v>64979.371208821</v>
      </c>
      <c r="K244" s="16" t="n">
        <f aca="false">IF($A244&gt;PARAMETROS!$C$33,"",K243*(1+PARAMETROS!$C$36))</f>
        <v>58377.5990103112</v>
      </c>
      <c r="L244" s="16" t="n">
        <f aca="false">IF($A244&gt;PARAMETROS!$C$33,"",L243*(1+PARAMETROS!$C$37)*(1+M244))</f>
        <v>25126.686639376</v>
      </c>
      <c r="M244" s="17" t="n">
        <f aca="false">IF($A244&gt;PARAMETROS!$C$33,"",IF(C244&lt;70,PARAMETROS!$C$40,IF(C244&lt;75,PARAMETROS!$C$41,IF(C244&lt;80,PARAMETROS!$C$42,IF(C244&lt;85,PARAMETROS!$C$43,IF(C244&lt;90,PARAMETROS!$C$44,PARAMETROS!$C$45))))))</f>
        <v>0.00041571484472902</v>
      </c>
      <c r="N244" s="16" t="n">
        <f aca="false">IF($A244&gt;PARAMETROS!$C$33,"",K244+L244)</f>
        <v>83504.2856496872</v>
      </c>
      <c r="O244" s="16" t="n">
        <f aca="false">IF($A244&gt;PARAMETROS!$C$33,"",I244+J244-N244)</f>
        <v>-18524.9144408662</v>
      </c>
      <c r="P244" s="16" t="n">
        <f aca="false">IF($A244&gt;PARAMETROS!$C$33,"",MAX(E244+I244+J244-N244,0))</f>
        <v>0</v>
      </c>
      <c r="Q244" s="18" t="str">
        <f aca="false">IF($A244&gt;PARAMETROS!$C$33,"",IF(P244&lt;=0,"AGOTADO","OK"))</f>
        <v>AGOTADO</v>
      </c>
    </row>
    <row r="245" customFormat="false" ht="15" hidden="false" customHeight="false" outlineLevel="0" collapsed="false">
      <c r="A245" s="15" t="n">
        <f aca="false">A244+1</f>
        <v>243</v>
      </c>
      <c r="B245" s="15" t="n">
        <f aca="false">IF($A245="","",ROUNDUP($A245/12,0))</f>
        <v>21</v>
      </c>
      <c r="C245" s="15" t="n">
        <f aca="false">IF($A245="","",PARAMETROS!$C$6+INT(($A245-1)/12))</f>
        <v>85</v>
      </c>
      <c r="D245" s="15" t="n">
        <f aca="false">IF($A245="","",MOD($A245-1,12)+1)</f>
        <v>3</v>
      </c>
      <c r="E245" s="16" t="n">
        <f aca="false">IF($A245&gt;PARAMETROS!$C$33,"",P244)</f>
        <v>0</v>
      </c>
      <c r="F245" s="17" t="n">
        <f aca="false">IF($A245&gt;PARAMETROS!$C$33,"",PARAMETROS!$C$38)</f>
        <v>0.00495440818448101</v>
      </c>
      <c r="G245" s="16" t="n">
        <f aca="false">IF($A245&gt;PARAMETROS!$C$33,"",E245*F245)</f>
        <v>0</v>
      </c>
      <c r="H245" s="16" t="n">
        <f aca="false">IF($A245&gt;PARAMETROS!$C$33,"",E245*PARAMETROS!$C$39)</f>
        <v>0</v>
      </c>
      <c r="I245" s="16" t="n">
        <f aca="false">IF($A245&gt;PARAMETROS!$C$33,"",G245-H245)</f>
        <v>0</v>
      </c>
      <c r="J245" s="16" t="n">
        <f aca="false">IF($A245&gt;PARAMETROS!$C$33,"",PARAMETROS!$C$9*(1+PARAMETROS!$C$17)^(B245-1))</f>
        <v>64979.371208821</v>
      </c>
      <c r="K245" s="16" t="n">
        <f aca="false">IF($A245&gt;PARAMETROS!$C$33,"",K244*(1+PARAMETROS!$C$36))</f>
        <v>58577.6213319406</v>
      </c>
      <c r="L245" s="16" t="n">
        <f aca="false">IF($A245&gt;PARAMETROS!$C$33,"",L244*(1+PARAMETROS!$C$37)*(1+M245))</f>
        <v>25236.3367019967</v>
      </c>
      <c r="M245" s="17" t="n">
        <f aca="false">IF($A245&gt;PARAMETROS!$C$33,"",IF(C245&lt;70,PARAMETROS!$C$40,IF(C245&lt;75,PARAMETROS!$C$41,IF(C245&lt;80,PARAMETROS!$C$42,IF(C245&lt;85,PARAMETROS!$C$43,IF(C245&lt;90,PARAMETROS!$C$44,PARAMETROS!$C$45))))))</f>
        <v>0.00041571484472902</v>
      </c>
      <c r="N245" s="16" t="n">
        <f aca="false">IF($A245&gt;PARAMETROS!$C$33,"",K245+L245)</f>
        <v>83813.9580339374</v>
      </c>
      <c r="O245" s="16" t="n">
        <f aca="false">IF($A245&gt;PARAMETROS!$C$33,"",I245+J245-N245)</f>
        <v>-18834.5868251164</v>
      </c>
      <c r="P245" s="16" t="n">
        <f aca="false">IF($A245&gt;PARAMETROS!$C$33,"",MAX(E245+I245+J245-N245,0))</f>
        <v>0</v>
      </c>
      <c r="Q245" s="18" t="str">
        <f aca="false">IF($A245&gt;PARAMETROS!$C$33,"",IF(P245&lt;=0,"AGOTADO","OK"))</f>
        <v>AGOTADO</v>
      </c>
    </row>
    <row r="246" customFormat="false" ht="15" hidden="false" customHeight="false" outlineLevel="0" collapsed="false">
      <c r="A246" s="15" t="n">
        <f aca="false">A245+1</f>
        <v>244</v>
      </c>
      <c r="B246" s="15" t="n">
        <f aca="false">IF($A246="","",ROUNDUP($A246/12,0))</f>
        <v>21</v>
      </c>
      <c r="C246" s="15" t="n">
        <f aca="false">IF($A246="","",PARAMETROS!$C$6+INT(($A246-1)/12))</f>
        <v>85</v>
      </c>
      <c r="D246" s="15" t="n">
        <f aca="false">IF($A246="","",MOD($A246-1,12)+1)</f>
        <v>4</v>
      </c>
      <c r="E246" s="16" t="n">
        <f aca="false">IF($A246&gt;PARAMETROS!$C$33,"",P245)</f>
        <v>0</v>
      </c>
      <c r="F246" s="17" t="n">
        <f aca="false">IF($A246&gt;PARAMETROS!$C$33,"",PARAMETROS!$C$38)</f>
        <v>0.00495440818448101</v>
      </c>
      <c r="G246" s="16" t="n">
        <f aca="false">IF($A246&gt;PARAMETROS!$C$33,"",E246*F246)</f>
        <v>0</v>
      </c>
      <c r="H246" s="16" t="n">
        <f aca="false">IF($A246&gt;PARAMETROS!$C$33,"",E246*PARAMETROS!$C$39)</f>
        <v>0</v>
      </c>
      <c r="I246" s="16" t="n">
        <f aca="false">IF($A246&gt;PARAMETROS!$C$33,"",G246-H246)</f>
        <v>0</v>
      </c>
      <c r="J246" s="16" t="n">
        <f aca="false">IF($A246&gt;PARAMETROS!$C$33,"",PARAMETROS!$C$9*(1+PARAMETROS!$C$17)^(B246-1))</f>
        <v>64979.371208821</v>
      </c>
      <c r="K246" s="16" t="n">
        <f aca="false">IF($A246&gt;PARAMETROS!$C$33,"",K245*(1+PARAMETROS!$C$36))</f>
        <v>58778.3290008579</v>
      </c>
      <c r="L246" s="16" t="n">
        <f aca="false">IF($A246&gt;PARAMETROS!$C$33,"",L245*(1+PARAMETROS!$C$37)*(1+M246))</f>
        <v>25346.4652652812</v>
      </c>
      <c r="M246" s="17" t="n">
        <f aca="false">IF($A246&gt;PARAMETROS!$C$33,"",IF(C246&lt;70,PARAMETROS!$C$40,IF(C246&lt;75,PARAMETROS!$C$41,IF(C246&lt;80,PARAMETROS!$C$42,IF(C246&lt;85,PARAMETROS!$C$43,IF(C246&lt;90,PARAMETROS!$C$44,PARAMETROS!$C$45))))))</f>
        <v>0.00041571484472902</v>
      </c>
      <c r="N246" s="16" t="n">
        <f aca="false">IF($A246&gt;PARAMETROS!$C$33,"",K246+L246)</f>
        <v>84124.794266139</v>
      </c>
      <c r="O246" s="16" t="n">
        <f aca="false">IF($A246&gt;PARAMETROS!$C$33,"",I246+J246-N246)</f>
        <v>-19145.423057318</v>
      </c>
      <c r="P246" s="16" t="n">
        <f aca="false">IF($A246&gt;PARAMETROS!$C$33,"",MAX(E246+I246+J246-N246,0))</f>
        <v>0</v>
      </c>
      <c r="Q246" s="18" t="str">
        <f aca="false">IF($A246&gt;PARAMETROS!$C$33,"",IF(P246&lt;=0,"AGOTADO","OK"))</f>
        <v>AGOTADO</v>
      </c>
    </row>
    <row r="247" customFormat="false" ht="15" hidden="false" customHeight="false" outlineLevel="0" collapsed="false">
      <c r="A247" s="15" t="n">
        <f aca="false">A246+1</f>
        <v>245</v>
      </c>
      <c r="B247" s="15" t="n">
        <f aca="false">IF($A247="","",ROUNDUP($A247/12,0))</f>
        <v>21</v>
      </c>
      <c r="C247" s="15" t="n">
        <f aca="false">IF($A247="","",PARAMETROS!$C$6+INT(($A247-1)/12))</f>
        <v>85</v>
      </c>
      <c r="D247" s="15" t="n">
        <f aca="false">IF($A247="","",MOD($A247-1,12)+1)</f>
        <v>5</v>
      </c>
      <c r="E247" s="16" t="n">
        <f aca="false">IF($A247&gt;PARAMETROS!$C$33,"",P246)</f>
        <v>0</v>
      </c>
      <c r="F247" s="17" t="n">
        <f aca="false">IF($A247&gt;PARAMETROS!$C$33,"",PARAMETROS!$C$38)</f>
        <v>0.00495440818448101</v>
      </c>
      <c r="G247" s="16" t="n">
        <f aca="false">IF($A247&gt;PARAMETROS!$C$33,"",E247*F247)</f>
        <v>0</v>
      </c>
      <c r="H247" s="16" t="n">
        <f aca="false">IF($A247&gt;PARAMETROS!$C$33,"",E247*PARAMETROS!$C$39)</f>
        <v>0</v>
      </c>
      <c r="I247" s="16" t="n">
        <f aca="false">IF($A247&gt;PARAMETROS!$C$33,"",G247-H247)</f>
        <v>0</v>
      </c>
      <c r="J247" s="16" t="n">
        <f aca="false">IF($A247&gt;PARAMETROS!$C$33,"",PARAMETROS!$C$9*(1+PARAMETROS!$C$17)^(B247-1))</f>
        <v>64979.371208821</v>
      </c>
      <c r="K247" s="16" t="n">
        <f aca="false">IF($A247&gt;PARAMETROS!$C$33,"",K246*(1+PARAMETROS!$C$36))</f>
        <v>58979.7243653053</v>
      </c>
      <c r="L247" s="16" t="n">
        <f aca="false">IF($A247&gt;PARAMETROS!$C$33,"",L246*(1+PARAMETROS!$C$37)*(1+M247))</f>
        <v>25457.0744173529</v>
      </c>
      <c r="M247" s="17" t="n">
        <f aca="false">IF($A247&gt;PARAMETROS!$C$33,"",IF(C247&lt;70,PARAMETROS!$C$40,IF(C247&lt;75,PARAMETROS!$C$41,IF(C247&lt;80,PARAMETROS!$C$42,IF(C247&lt;85,PARAMETROS!$C$43,IF(C247&lt;90,PARAMETROS!$C$44,PARAMETROS!$C$45))))))</f>
        <v>0.00041571484472902</v>
      </c>
      <c r="N247" s="16" t="n">
        <f aca="false">IF($A247&gt;PARAMETROS!$C$33,"",K247+L247)</f>
        <v>84436.7987826582</v>
      </c>
      <c r="O247" s="16" t="n">
        <f aca="false">IF($A247&gt;PARAMETROS!$C$33,"",I247+J247-N247)</f>
        <v>-19457.4275738372</v>
      </c>
      <c r="P247" s="16" t="n">
        <f aca="false">IF($A247&gt;PARAMETROS!$C$33,"",MAX(E247+I247+J247-N247,0))</f>
        <v>0</v>
      </c>
      <c r="Q247" s="18" t="str">
        <f aca="false">IF($A247&gt;PARAMETROS!$C$33,"",IF(P247&lt;=0,"AGOTADO","OK"))</f>
        <v>AGOTADO</v>
      </c>
    </row>
    <row r="248" customFormat="false" ht="15" hidden="false" customHeight="false" outlineLevel="0" collapsed="false">
      <c r="A248" s="15" t="n">
        <f aca="false">A247+1</f>
        <v>246</v>
      </c>
      <c r="B248" s="15" t="n">
        <f aca="false">IF($A248="","",ROUNDUP($A248/12,0))</f>
        <v>21</v>
      </c>
      <c r="C248" s="15" t="n">
        <f aca="false">IF($A248="","",PARAMETROS!$C$6+INT(($A248-1)/12))</f>
        <v>85</v>
      </c>
      <c r="D248" s="15" t="n">
        <f aca="false">IF($A248="","",MOD($A248-1,12)+1)</f>
        <v>6</v>
      </c>
      <c r="E248" s="16" t="n">
        <f aca="false">IF($A248&gt;PARAMETROS!$C$33,"",P247)</f>
        <v>0</v>
      </c>
      <c r="F248" s="17" t="n">
        <f aca="false">IF($A248&gt;PARAMETROS!$C$33,"",PARAMETROS!$C$38)</f>
        <v>0.00495440818448101</v>
      </c>
      <c r="G248" s="16" t="n">
        <f aca="false">IF($A248&gt;PARAMETROS!$C$33,"",E248*F248)</f>
        <v>0</v>
      </c>
      <c r="H248" s="16" t="n">
        <f aca="false">IF($A248&gt;PARAMETROS!$C$33,"",E248*PARAMETROS!$C$39)</f>
        <v>0</v>
      </c>
      <c r="I248" s="16" t="n">
        <f aca="false">IF($A248&gt;PARAMETROS!$C$33,"",G248-H248)</f>
        <v>0</v>
      </c>
      <c r="J248" s="16" t="n">
        <f aca="false">IF($A248&gt;PARAMETROS!$C$33,"",PARAMETROS!$C$9*(1+PARAMETROS!$C$17)^(B248-1))</f>
        <v>64979.371208821</v>
      </c>
      <c r="K248" s="16" t="n">
        <f aca="false">IF($A248&gt;PARAMETROS!$C$33,"",K247*(1+PARAMETROS!$C$36))</f>
        <v>59181.8097815714</v>
      </c>
      <c r="L248" s="16" t="n">
        <f aca="false">IF($A248&gt;PARAMETROS!$C$33,"",L247*(1+PARAMETROS!$C$37)*(1+M248))</f>
        <v>25568.1662554479</v>
      </c>
      <c r="M248" s="17" t="n">
        <f aca="false">IF($A248&gt;PARAMETROS!$C$33,"",IF(C248&lt;70,PARAMETROS!$C$40,IF(C248&lt;75,PARAMETROS!$C$41,IF(C248&lt;80,PARAMETROS!$C$42,IF(C248&lt;85,PARAMETROS!$C$43,IF(C248&lt;90,PARAMETROS!$C$44,PARAMETROS!$C$45))))))</f>
        <v>0.00041571484472902</v>
      </c>
      <c r="N248" s="16" t="n">
        <f aca="false">IF($A248&gt;PARAMETROS!$C$33,"",K248+L248)</f>
        <v>84749.9760370192</v>
      </c>
      <c r="O248" s="16" t="n">
        <f aca="false">IF($A248&gt;PARAMETROS!$C$33,"",I248+J248-N248)</f>
        <v>-19770.6048281983</v>
      </c>
      <c r="P248" s="16" t="n">
        <f aca="false">IF($A248&gt;PARAMETROS!$C$33,"",MAX(E248+I248+J248-N248,0))</f>
        <v>0</v>
      </c>
      <c r="Q248" s="18" t="str">
        <f aca="false">IF($A248&gt;PARAMETROS!$C$33,"",IF(P248&lt;=0,"AGOTADO","OK"))</f>
        <v>AGOTADO</v>
      </c>
    </row>
    <row r="249" customFormat="false" ht="15" hidden="false" customHeight="false" outlineLevel="0" collapsed="false">
      <c r="A249" s="15" t="n">
        <f aca="false">A248+1</f>
        <v>247</v>
      </c>
      <c r="B249" s="15" t="n">
        <f aca="false">IF($A249="","",ROUNDUP($A249/12,0))</f>
        <v>21</v>
      </c>
      <c r="C249" s="15" t="n">
        <f aca="false">IF($A249="","",PARAMETROS!$C$6+INT(($A249-1)/12))</f>
        <v>85</v>
      </c>
      <c r="D249" s="15" t="n">
        <f aca="false">IF($A249="","",MOD($A249-1,12)+1)</f>
        <v>7</v>
      </c>
      <c r="E249" s="16" t="n">
        <f aca="false">IF($A249&gt;PARAMETROS!$C$33,"",P248)</f>
        <v>0</v>
      </c>
      <c r="F249" s="17" t="n">
        <f aca="false">IF($A249&gt;PARAMETROS!$C$33,"",PARAMETROS!$C$38)</f>
        <v>0.00495440818448101</v>
      </c>
      <c r="G249" s="16" t="n">
        <f aca="false">IF($A249&gt;PARAMETROS!$C$33,"",E249*F249)</f>
        <v>0</v>
      </c>
      <c r="H249" s="16" t="n">
        <f aca="false">IF($A249&gt;PARAMETROS!$C$33,"",E249*PARAMETROS!$C$39)</f>
        <v>0</v>
      </c>
      <c r="I249" s="16" t="n">
        <f aca="false">IF($A249&gt;PARAMETROS!$C$33,"",G249-H249)</f>
        <v>0</v>
      </c>
      <c r="J249" s="16" t="n">
        <f aca="false">IF($A249&gt;PARAMETROS!$C$33,"",PARAMETROS!$C$9*(1+PARAMETROS!$C$17)^(B249-1))</f>
        <v>64979.371208821</v>
      </c>
      <c r="K249" s="16" t="n">
        <f aca="false">IF($A249&gt;PARAMETROS!$C$33,"",K248*(1+PARAMETROS!$C$36))</f>
        <v>59384.5876140179</v>
      </c>
      <c r="L249" s="16" t="n">
        <f aca="false">IF($A249&gt;PARAMETROS!$C$33,"",L248*(1+PARAMETROS!$C$37)*(1+M249))</f>
        <v>25679.7428859541</v>
      </c>
      <c r="M249" s="17" t="n">
        <f aca="false">IF($A249&gt;PARAMETROS!$C$33,"",IF(C249&lt;70,PARAMETROS!$C$40,IF(C249&lt;75,PARAMETROS!$C$41,IF(C249&lt;80,PARAMETROS!$C$42,IF(C249&lt;85,PARAMETROS!$C$43,IF(C249&lt;90,PARAMETROS!$C$44,PARAMETROS!$C$45))))))</f>
        <v>0.00041571484472902</v>
      </c>
      <c r="N249" s="16" t="n">
        <f aca="false">IF($A249&gt;PARAMETROS!$C$33,"",K249+L249)</f>
        <v>85064.330499972</v>
      </c>
      <c r="O249" s="16" t="n">
        <f aca="false">IF($A249&gt;PARAMETROS!$C$33,"",I249+J249-N249)</f>
        <v>-20084.959291151</v>
      </c>
      <c r="P249" s="16" t="n">
        <f aca="false">IF($A249&gt;PARAMETROS!$C$33,"",MAX(E249+I249+J249-N249,0))</f>
        <v>0</v>
      </c>
      <c r="Q249" s="18" t="str">
        <f aca="false">IF($A249&gt;PARAMETROS!$C$33,"",IF(P249&lt;=0,"AGOTADO","OK"))</f>
        <v>AGOTADO</v>
      </c>
    </row>
    <row r="250" customFormat="false" ht="15" hidden="false" customHeight="false" outlineLevel="0" collapsed="false">
      <c r="A250" s="15" t="n">
        <f aca="false">A249+1</f>
        <v>248</v>
      </c>
      <c r="B250" s="15" t="n">
        <f aca="false">IF($A250="","",ROUNDUP($A250/12,0))</f>
        <v>21</v>
      </c>
      <c r="C250" s="15" t="n">
        <f aca="false">IF($A250="","",PARAMETROS!$C$6+INT(($A250-1)/12))</f>
        <v>85</v>
      </c>
      <c r="D250" s="15" t="n">
        <f aca="false">IF($A250="","",MOD($A250-1,12)+1)</f>
        <v>8</v>
      </c>
      <c r="E250" s="16" t="n">
        <f aca="false">IF($A250&gt;PARAMETROS!$C$33,"",P249)</f>
        <v>0</v>
      </c>
      <c r="F250" s="17" t="n">
        <f aca="false">IF($A250&gt;PARAMETROS!$C$33,"",PARAMETROS!$C$38)</f>
        <v>0.00495440818448101</v>
      </c>
      <c r="G250" s="16" t="n">
        <f aca="false">IF($A250&gt;PARAMETROS!$C$33,"",E250*F250)</f>
        <v>0</v>
      </c>
      <c r="H250" s="16" t="n">
        <f aca="false">IF($A250&gt;PARAMETROS!$C$33,"",E250*PARAMETROS!$C$39)</f>
        <v>0</v>
      </c>
      <c r="I250" s="16" t="n">
        <f aca="false">IF($A250&gt;PARAMETROS!$C$33,"",G250-H250)</f>
        <v>0</v>
      </c>
      <c r="J250" s="16" t="n">
        <f aca="false">IF($A250&gt;PARAMETROS!$C$33,"",PARAMETROS!$C$9*(1+PARAMETROS!$C$17)^(B250-1))</f>
        <v>64979.371208821</v>
      </c>
      <c r="K250" s="16" t="n">
        <f aca="false">IF($A250&gt;PARAMETROS!$C$33,"",K249*(1+PARAMETROS!$C$36))</f>
        <v>59588.0602351078</v>
      </c>
      <c r="L250" s="16" t="n">
        <f aca="false">IF($A250&gt;PARAMETROS!$C$33,"",L249*(1+PARAMETROS!$C$37)*(1+M250))</f>
        <v>25791.8064244518</v>
      </c>
      <c r="M250" s="17" t="n">
        <f aca="false">IF($A250&gt;PARAMETROS!$C$33,"",IF(C250&lt;70,PARAMETROS!$C$40,IF(C250&lt;75,PARAMETROS!$C$41,IF(C250&lt;80,PARAMETROS!$C$42,IF(C250&lt;85,PARAMETROS!$C$43,IF(C250&lt;90,PARAMETROS!$C$44,PARAMETROS!$C$45))))))</f>
        <v>0.00041571484472902</v>
      </c>
      <c r="N250" s="16" t="n">
        <f aca="false">IF($A250&gt;PARAMETROS!$C$33,"",K250+L250)</f>
        <v>85379.8666595595</v>
      </c>
      <c r="O250" s="16" t="n">
        <f aca="false">IF($A250&gt;PARAMETROS!$C$33,"",I250+J250-N250)</f>
        <v>-20400.4954507385</v>
      </c>
      <c r="P250" s="16" t="n">
        <f aca="false">IF($A250&gt;PARAMETROS!$C$33,"",MAX(E250+I250+J250-N250,0))</f>
        <v>0</v>
      </c>
      <c r="Q250" s="18" t="str">
        <f aca="false">IF($A250&gt;PARAMETROS!$C$33,"",IF(P250&lt;=0,"AGOTADO","OK"))</f>
        <v>AGOTADO</v>
      </c>
    </row>
    <row r="251" customFormat="false" ht="15" hidden="false" customHeight="false" outlineLevel="0" collapsed="false">
      <c r="A251" s="15" t="n">
        <f aca="false">A250+1</f>
        <v>249</v>
      </c>
      <c r="B251" s="15" t="n">
        <f aca="false">IF($A251="","",ROUNDUP($A251/12,0))</f>
        <v>21</v>
      </c>
      <c r="C251" s="15" t="n">
        <f aca="false">IF($A251="","",PARAMETROS!$C$6+INT(($A251-1)/12))</f>
        <v>85</v>
      </c>
      <c r="D251" s="15" t="n">
        <f aca="false">IF($A251="","",MOD($A251-1,12)+1)</f>
        <v>9</v>
      </c>
      <c r="E251" s="16" t="n">
        <f aca="false">IF($A251&gt;PARAMETROS!$C$33,"",P250)</f>
        <v>0</v>
      </c>
      <c r="F251" s="17" t="n">
        <f aca="false">IF($A251&gt;PARAMETROS!$C$33,"",PARAMETROS!$C$38)</f>
        <v>0.00495440818448101</v>
      </c>
      <c r="G251" s="16" t="n">
        <f aca="false">IF($A251&gt;PARAMETROS!$C$33,"",E251*F251)</f>
        <v>0</v>
      </c>
      <c r="H251" s="16" t="n">
        <f aca="false">IF($A251&gt;PARAMETROS!$C$33,"",E251*PARAMETROS!$C$39)</f>
        <v>0</v>
      </c>
      <c r="I251" s="16" t="n">
        <f aca="false">IF($A251&gt;PARAMETROS!$C$33,"",G251-H251)</f>
        <v>0</v>
      </c>
      <c r="J251" s="16" t="n">
        <f aca="false">IF($A251&gt;PARAMETROS!$C$33,"",PARAMETROS!$C$9*(1+PARAMETROS!$C$17)^(B251-1))</f>
        <v>64979.371208821</v>
      </c>
      <c r="K251" s="16" t="n">
        <f aca="false">IF($A251&gt;PARAMETROS!$C$33,"",K250*(1+PARAMETROS!$C$36))</f>
        <v>59792.2300254329</v>
      </c>
      <c r="L251" s="16" t="n">
        <f aca="false">IF($A251&gt;PARAMETROS!$C$33,"",L250*(1+PARAMETROS!$C$37)*(1+M251))</f>
        <v>25904.3589957531</v>
      </c>
      <c r="M251" s="17" t="n">
        <f aca="false">IF($A251&gt;PARAMETROS!$C$33,"",IF(C251&lt;70,PARAMETROS!$C$40,IF(C251&lt;75,PARAMETROS!$C$41,IF(C251&lt;80,PARAMETROS!$C$42,IF(C251&lt;85,PARAMETROS!$C$43,IF(C251&lt;90,PARAMETROS!$C$44,PARAMETROS!$C$45))))))</f>
        <v>0.00041571484472902</v>
      </c>
      <c r="N251" s="16" t="n">
        <f aca="false">IF($A251&gt;PARAMETROS!$C$33,"",K251+L251)</f>
        <v>85696.589021186</v>
      </c>
      <c r="O251" s="16" t="n">
        <f aca="false">IF($A251&gt;PARAMETROS!$C$33,"",I251+J251-N251)</f>
        <v>-20717.217812365</v>
      </c>
      <c r="P251" s="16" t="n">
        <f aca="false">IF($A251&gt;PARAMETROS!$C$33,"",MAX(E251+I251+J251-N251,0))</f>
        <v>0</v>
      </c>
      <c r="Q251" s="18" t="str">
        <f aca="false">IF($A251&gt;PARAMETROS!$C$33,"",IF(P251&lt;=0,"AGOTADO","OK"))</f>
        <v>AGOTADO</v>
      </c>
    </row>
    <row r="252" customFormat="false" ht="15" hidden="false" customHeight="false" outlineLevel="0" collapsed="false">
      <c r="A252" s="15" t="n">
        <f aca="false">A251+1</f>
        <v>250</v>
      </c>
      <c r="B252" s="15" t="n">
        <f aca="false">IF($A252="","",ROUNDUP($A252/12,0))</f>
        <v>21</v>
      </c>
      <c r="C252" s="15" t="n">
        <f aca="false">IF($A252="","",PARAMETROS!$C$6+INT(($A252-1)/12))</f>
        <v>85</v>
      </c>
      <c r="D252" s="15" t="n">
        <f aca="false">IF($A252="","",MOD($A252-1,12)+1)</f>
        <v>10</v>
      </c>
      <c r="E252" s="16" t="n">
        <f aca="false">IF($A252&gt;PARAMETROS!$C$33,"",P251)</f>
        <v>0</v>
      </c>
      <c r="F252" s="17" t="n">
        <f aca="false">IF($A252&gt;PARAMETROS!$C$33,"",PARAMETROS!$C$38)</f>
        <v>0.00495440818448101</v>
      </c>
      <c r="G252" s="16" t="n">
        <f aca="false">IF($A252&gt;PARAMETROS!$C$33,"",E252*F252)</f>
        <v>0</v>
      </c>
      <c r="H252" s="16" t="n">
        <f aca="false">IF($A252&gt;PARAMETROS!$C$33,"",E252*PARAMETROS!$C$39)</f>
        <v>0</v>
      </c>
      <c r="I252" s="16" t="n">
        <f aca="false">IF($A252&gt;PARAMETROS!$C$33,"",G252-H252)</f>
        <v>0</v>
      </c>
      <c r="J252" s="16" t="n">
        <f aca="false">IF($A252&gt;PARAMETROS!$C$33,"",PARAMETROS!$C$9*(1+PARAMETROS!$C$17)^(B252-1))</f>
        <v>64979.371208821</v>
      </c>
      <c r="K252" s="16" t="n">
        <f aca="false">IF($A252&gt;PARAMETROS!$C$33,"",K251*(1+PARAMETROS!$C$36))</f>
        <v>59997.0993737419</v>
      </c>
      <c r="L252" s="16" t="n">
        <f aca="false">IF($A252&gt;PARAMETROS!$C$33,"",L251*(1+PARAMETROS!$C$37)*(1+M252))</f>
        <v>26017.4027339427</v>
      </c>
      <c r="M252" s="17" t="n">
        <f aca="false">IF($A252&gt;PARAMETROS!$C$33,"",IF(C252&lt;70,PARAMETROS!$C$40,IF(C252&lt;75,PARAMETROS!$C$41,IF(C252&lt;80,PARAMETROS!$C$42,IF(C252&lt;85,PARAMETROS!$C$43,IF(C252&lt;90,PARAMETROS!$C$44,PARAMETROS!$C$45))))))</f>
        <v>0.00041571484472902</v>
      </c>
      <c r="N252" s="16" t="n">
        <f aca="false">IF($A252&gt;PARAMETROS!$C$33,"",K252+L252)</f>
        <v>86014.5021076847</v>
      </c>
      <c r="O252" s="16" t="n">
        <f aca="false">IF($A252&gt;PARAMETROS!$C$33,"",I252+J252-N252)</f>
        <v>-21035.1308988637</v>
      </c>
      <c r="P252" s="16" t="n">
        <f aca="false">IF($A252&gt;PARAMETROS!$C$33,"",MAX(E252+I252+J252-N252,0))</f>
        <v>0</v>
      </c>
      <c r="Q252" s="18" t="str">
        <f aca="false">IF($A252&gt;PARAMETROS!$C$33,"",IF(P252&lt;=0,"AGOTADO","OK"))</f>
        <v>AGOTADO</v>
      </c>
    </row>
    <row r="253" customFormat="false" ht="15" hidden="false" customHeight="false" outlineLevel="0" collapsed="false">
      <c r="A253" s="15" t="n">
        <f aca="false">A252+1</f>
        <v>251</v>
      </c>
      <c r="B253" s="15" t="n">
        <f aca="false">IF($A253="","",ROUNDUP($A253/12,0))</f>
        <v>21</v>
      </c>
      <c r="C253" s="15" t="n">
        <f aca="false">IF($A253="","",PARAMETROS!$C$6+INT(($A253-1)/12))</f>
        <v>85</v>
      </c>
      <c r="D253" s="15" t="n">
        <f aca="false">IF($A253="","",MOD($A253-1,12)+1)</f>
        <v>11</v>
      </c>
      <c r="E253" s="16" t="n">
        <f aca="false">IF($A253&gt;PARAMETROS!$C$33,"",P252)</f>
        <v>0</v>
      </c>
      <c r="F253" s="17" t="n">
        <f aca="false">IF($A253&gt;PARAMETROS!$C$33,"",PARAMETROS!$C$38)</f>
        <v>0.00495440818448101</v>
      </c>
      <c r="G253" s="16" t="n">
        <f aca="false">IF($A253&gt;PARAMETROS!$C$33,"",E253*F253)</f>
        <v>0</v>
      </c>
      <c r="H253" s="16" t="n">
        <f aca="false">IF($A253&gt;PARAMETROS!$C$33,"",E253*PARAMETROS!$C$39)</f>
        <v>0</v>
      </c>
      <c r="I253" s="16" t="n">
        <f aca="false">IF($A253&gt;PARAMETROS!$C$33,"",G253-H253)</f>
        <v>0</v>
      </c>
      <c r="J253" s="16" t="n">
        <f aca="false">IF($A253&gt;PARAMETROS!$C$33,"",PARAMETROS!$C$9*(1+PARAMETROS!$C$17)^(B253-1))</f>
        <v>64979.371208821</v>
      </c>
      <c r="K253" s="16" t="n">
        <f aca="false">IF($A253&gt;PARAMETROS!$C$33,"",K252*(1+PARAMETROS!$C$36))</f>
        <v>60202.6706769681</v>
      </c>
      <c r="L253" s="16" t="n">
        <f aca="false">IF($A253&gt;PARAMETROS!$C$33,"",L252*(1+PARAMETROS!$C$37)*(1+M253))</f>
        <v>26130.9397824184</v>
      </c>
      <c r="M253" s="17" t="n">
        <f aca="false">IF($A253&gt;PARAMETROS!$C$33,"",IF(C253&lt;70,PARAMETROS!$C$40,IF(C253&lt;75,PARAMETROS!$C$41,IF(C253&lt;80,PARAMETROS!$C$42,IF(C253&lt;85,PARAMETROS!$C$43,IF(C253&lt;90,PARAMETROS!$C$44,PARAMETROS!$C$45))))))</f>
        <v>0.00041571484472902</v>
      </c>
      <c r="N253" s="16" t="n">
        <f aca="false">IF($A253&gt;PARAMETROS!$C$33,"",K253+L253)</f>
        <v>86333.6104593865</v>
      </c>
      <c r="O253" s="16" t="n">
        <f aca="false">IF($A253&gt;PARAMETROS!$C$33,"",I253+J253-N253)</f>
        <v>-21354.2392505655</v>
      </c>
      <c r="P253" s="16" t="n">
        <f aca="false">IF($A253&gt;PARAMETROS!$C$33,"",MAX(E253+I253+J253-N253,0))</f>
        <v>0</v>
      </c>
      <c r="Q253" s="18" t="str">
        <f aca="false">IF($A253&gt;PARAMETROS!$C$33,"",IF(P253&lt;=0,"AGOTADO","OK"))</f>
        <v>AGOTADO</v>
      </c>
    </row>
    <row r="254" customFormat="false" ht="15" hidden="false" customHeight="false" outlineLevel="0" collapsed="false">
      <c r="A254" s="15" t="n">
        <f aca="false">A253+1</f>
        <v>252</v>
      </c>
      <c r="B254" s="15" t="n">
        <f aca="false">IF($A254="","",ROUNDUP($A254/12,0))</f>
        <v>21</v>
      </c>
      <c r="C254" s="15" t="n">
        <f aca="false">IF($A254="","",PARAMETROS!$C$6+INT(($A254-1)/12))</f>
        <v>85</v>
      </c>
      <c r="D254" s="15" t="n">
        <f aca="false">IF($A254="","",MOD($A254-1,12)+1)</f>
        <v>12</v>
      </c>
      <c r="E254" s="16" t="n">
        <f aca="false">IF($A254&gt;PARAMETROS!$C$33,"",P253)</f>
        <v>0</v>
      </c>
      <c r="F254" s="17" t="n">
        <f aca="false">IF($A254&gt;PARAMETROS!$C$33,"",PARAMETROS!$C$38)</f>
        <v>0.00495440818448101</v>
      </c>
      <c r="G254" s="16" t="n">
        <f aca="false">IF($A254&gt;PARAMETROS!$C$33,"",E254*F254)</f>
        <v>0</v>
      </c>
      <c r="H254" s="16" t="n">
        <f aca="false">IF($A254&gt;PARAMETROS!$C$33,"",E254*PARAMETROS!$C$39)</f>
        <v>0</v>
      </c>
      <c r="I254" s="16" t="n">
        <f aca="false">IF($A254&gt;PARAMETROS!$C$33,"",G254-H254)</f>
        <v>0</v>
      </c>
      <c r="J254" s="16" t="n">
        <f aca="false">IF($A254&gt;PARAMETROS!$C$33,"",PARAMETROS!$C$9*(1+PARAMETROS!$C$17)^(B254-1))</f>
        <v>64979.371208821</v>
      </c>
      <c r="K254" s="16" t="n">
        <f aca="false">IF($A254&gt;PARAMETROS!$C$33,"",K253*(1+PARAMETROS!$C$36))</f>
        <v>60408.9463402576</v>
      </c>
      <c r="L254" s="16" t="n">
        <f aca="false">IF($A254&gt;PARAMETROS!$C$33,"",L253*(1+PARAMETROS!$C$37)*(1+M254))</f>
        <v>26244.9722939311</v>
      </c>
      <c r="M254" s="17" t="n">
        <f aca="false">IF($A254&gt;PARAMETROS!$C$33,"",IF(C254&lt;70,PARAMETROS!$C$40,IF(C254&lt;75,PARAMETROS!$C$41,IF(C254&lt;80,PARAMETROS!$C$42,IF(C254&lt;85,PARAMETROS!$C$43,IF(C254&lt;90,PARAMETROS!$C$44,PARAMETROS!$C$45))))))</f>
        <v>0.00041571484472902</v>
      </c>
      <c r="N254" s="16" t="n">
        <f aca="false">IF($A254&gt;PARAMETROS!$C$33,"",K254+L254)</f>
        <v>86653.9186341887</v>
      </c>
      <c r="O254" s="16" t="n">
        <f aca="false">IF($A254&gt;PARAMETROS!$C$33,"",I254+J254-N254)</f>
        <v>-21674.5474253677</v>
      </c>
      <c r="P254" s="16" t="n">
        <f aca="false">IF($A254&gt;PARAMETROS!$C$33,"",MAX(E254+I254+J254-N254,0))</f>
        <v>0</v>
      </c>
      <c r="Q254" s="18" t="str">
        <f aca="false">IF($A254&gt;PARAMETROS!$C$33,"",IF(P254&lt;=0,"AGOTADO","OK"))</f>
        <v>AGOTADO</v>
      </c>
    </row>
    <row r="255" customFormat="false" ht="15" hidden="false" customHeight="false" outlineLevel="0" collapsed="false">
      <c r="A255" s="19" t="n">
        <f aca="false">A254+1</f>
        <v>253</v>
      </c>
      <c r="B255" s="19" t="n">
        <f aca="false">IF($A255="","",ROUNDUP($A255/12,0))</f>
        <v>22</v>
      </c>
      <c r="C255" s="19" t="n">
        <f aca="false">IF($A255="","",PARAMETROS!$C$6+INT(($A255-1)/12))</f>
        <v>86</v>
      </c>
      <c r="D255" s="19" t="n">
        <f aca="false">IF($A255="","",MOD($A255-1,12)+1)</f>
        <v>1</v>
      </c>
      <c r="E255" s="20" t="n">
        <f aca="false">IF($A255&gt;PARAMETROS!$C$33,"",P254)</f>
        <v>0</v>
      </c>
      <c r="F255" s="21" t="n">
        <f aca="false">IF($A255&gt;PARAMETROS!$C$33,"",PARAMETROS!$C$38)</f>
        <v>0.00495440818448101</v>
      </c>
      <c r="G255" s="20" t="n">
        <f aca="false">IF($A255&gt;PARAMETROS!$C$33,"",E255*F255)</f>
        <v>0</v>
      </c>
      <c r="H255" s="20" t="n">
        <f aca="false">IF($A255&gt;PARAMETROS!$C$33,"",E255*PARAMETROS!$C$39)</f>
        <v>0</v>
      </c>
      <c r="I255" s="20" t="n">
        <f aca="false">IF($A255&gt;PARAMETROS!$C$33,"",G255-H255)</f>
        <v>0</v>
      </c>
      <c r="J255" s="20" t="n">
        <f aca="false">IF($A255&gt;PARAMETROS!$C$33,"",PARAMETROS!$C$9*(1+PARAMETROS!$C$17)^(B255-1))</f>
        <v>67539.5584344485</v>
      </c>
      <c r="K255" s="20" t="n">
        <f aca="false">IF($A255&gt;PARAMETROS!$C$33,"",K254*(1+PARAMETROS!$C$36))</f>
        <v>60615.9287769973</v>
      </c>
      <c r="L255" s="20" t="n">
        <f aca="false">IF($A255&gt;PARAMETROS!$C$33,"",L254*(1+PARAMETROS!$C$37)*(1+M255))</f>
        <v>26359.5024306265</v>
      </c>
      <c r="M255" s="21" t="n">
        <f aca="false">IF($A255&gt;PARAMETROS!$C$33,"",IF(C255&lt;70,PARAMETROS!$C$40,IF(C255&lt;75,PARAMETROS!$C$41,IF(C255&lt;80,PARAMETROS!$C$42,IF(C255&lt;85,PARAMETROS!$C$43,IF(C255&lt;90,PARAMETROS!$C$44,PARAMETROS!$C$45))))))</f>
        <v>0.00041571484472902</v>
      </c>
      <c r="N255" s="20" t="n">
        <f aca="false">IF($A255&gt;PARAMETROS!$C$33,"",K255+L255)</f>
        <v>86975.4312076238</v>
      </c>
      <c r="O255" s="20" t="n">
        <f aca="false">IF($A255&gt;PARAMETROS!$C$33,"",I255+J255-N255)</f>
        <v>-19435.8727731752</v>
      </c>
      <c r="P255" s="20" t="n">
        <f aca="false">IF($A255&gt;PARAMETROS!$C$33,"",MAX(E255+I255+J255-N255,0))</f>
        <v>0</v>
      </c>
      <c r="Q255" s="22" t="str">
        <f aca="false">IF($A255&gt;PARAMETROS!$C$33,"",IF(P255&lt;=0,"AGOTADO","OK"))</f>
        <v>AGOTADO</v>
      </c>
    </row>
    <row r="256" customFormat="false" ht="15" hidden="false" customHeight="false" outlineLevel="0" collapsed="false">
      <c r="A256" s="19" t="n">
        <f aca="false">A255+1</f>
        <v>254</v>
      </c>
      <c r="B256" s="19" t="n">
        <f aca="false">IF($A256="","",ROUNDUP($A256/12,0))</f>
        <v>22</v>
      </c>
      <c r="C256" s="19" t="n">
        <f aca="false">IF($A256="","",PARAMETROS!$C$6+INT(($A256-1)/12))</f>
        <v>86</v>
      </c>
      <c r="D256" s="19" t="n">
        <f aca="false">IF($A256="","",MOD($A256-1,12)+1)</f>
        <v>2</v>
      </c>
      <c r="E256" s="20" t="n">
        <f aca="false">IF($A256&gt;PARAMETROS!$C$33,"",P255)</f>
        <v>0</v>
      </c>
      <c r="F256" s="21" t="n">
        <f aca="false">IF($A256&gt;PARAMETROS!$C$33,"",PARAMETROS!$C$38)</f>
        <v>0.00495440818448101</v>
      </c>
      <c r="G256" s="20" t="n">
        <f aca="false">IF($A256&gt;PARAMETROS!$C$33,"",E256*F256)</f>
        <v>0</v>
      </c>
      <c r="H256" s="20" t="n">
        <f aca="false">IF($A256&gt;PARAMETROS!$C$33,"",E256*PARAMETROS!$C$39)</f>
        <v>0</v>
      </c>
      <c r="I256" s="20" t="n">
        <f aca="false">IF($A256&gt;PARAMETROS!$C$33,"",G256-H256)</f>
        <v>0</v>
      </c>
      <c r="J256" s="20" t="n">
        <f aca="false">IF($A256&gt;PARAMETROS!$C$33,"",PARAMETROS!$C$9*(1+PARAMETROS!$C$17)^(B256-1))</f>
        <v>67539.5584344485</v>
      </c>
      <c r="K256" s="20" t="n">
        <f aca="false">IF($A256&gt;PARAMETROS!$C$33,"",K255*(1+PARAMETROS!$C$36))</f>
        <v>60823.6204088432</v>
      </c>
      <c r="L256" s="20" t="n">
        <f aca="false">IF($A256&gt;PARAMETROS!$C$33,"",L255*(1+PARAMETROS!$C$37)*(1+M256))</f>
        <v>26474.5323640854</v>
      </c>
      <c r="M256" s="21" t="n">
        <f aca="false">IF($A256&gt;PARAMETROS!$C$33,"",IF(C256&lt;70,PARAMETROS!$C$40,IF(C256&lt;75,PARAMETROS!$C$41,IF(C256&lt;80,PARAMETROS!$C$42,IF(C256&lt;85,PARAMETROS!$C$43,IF(C256&lt;90,PARAMETROS!$C$44,PARAMETROS!$C$45))))))</f>
        <v>0.00041571484472902</v>
      </c>
      <c r="N256" s="20" t="n">
        <f aca="false">IF($A256&gt;PARAMETROS!$C$33,"",K256+L256)</f>
        <v>87298.1527729286</v>
      </c>
      <c r="O256" s="20" t="n">
        <f aca="false">IF($A256&gt;PARAMETROS!$C$33,"",I256+J256-N256)</f>
        <v>-19758.5943384801</v>
      </c>
      <c r="P256" s="20" t="n">
        <f aca="false">IF($A256&gt;PARAMETROS!$C$33,"",MAX(E256+I256+J256-N256,0))</f>
        <v>0</v>
      </c>
      <c r="Q256" s="22" t="str">
        <f aca="false">IF($A256&gt;PARAMETROS!$C$33,"",IF(P256&lt;=0,"AGOTADO","OK"))</f>
        <v>AGOTADO</v>
      </c>
    </row>
    <row r="257" customFormat="false" ht="15" hidden="false" customHeight="false" outlineLevel="0" collapsed="false">
      <c r="A257" s="19" t="n">
        <f aca="false">A256+1</f>
        <v>255</v>
      </c>
      <c r="B257" s="19" t="n">
        <f aca="false">IF($A257="","",ROUNDUP($A257/12,0))</f>
        <v>22</v>
      </c>
      <c r="C257" s="19" t="n">
        <f aca="false">IF($A257="","",PARAMETROS!$C$6+INT(($A257-1)/12))</f>
        <v>86</v>
      </c>
      <c r="D257" s="19" t="n">
        <f aca="false">IF($A257="","",MOD($A257-1,12)+1)</f>
        <v>3</v>
      </c>
      <c r="E257" s="20" t="n">
        <f aca="false">IF($A257&gt;PARAMETROS!$C$33,"",P256)</f>
        <v>0</v>
      </c>
      <c r="F257" s="21" t="n">
        <f aca="false">IF($A257&gt;PARAMETROS!$C$33,"",PARAMETROS!$C$38)</f>
        <v>0.00495440818448101</v>
      </c>
      <c r="G257" s="20" t="n">
        <f aca="false">IF($A257&gt;PARAMETROS!$C$33,"",E257*F257)</f>
        <v>0</v>
      </c>
      <c r="H257" s="20" t="n">
        <f aca="false">IF($A257&gt;PARAMETROS!$C$33,"",E257*PARAMETROS!$C$39)</f>
        <v>0</v>
      </c>
      <c r="I257" s="20" t="n">
        <f aca="false">IF($A257&gt;PARAMETROS!$C$33,"",G257-H257)</f>
        <v>0</v>
      </c>
      <c r="J257" s="20" t="n">
        <f aca="false">IF($A257&gt;PARAMETROS!$C$33,"",PARAMETROS!$C$9*(1+PARAMETROS!$C$17)^(B257-1))</f>
        <v>67539.5584344485</v>
      </c>
      <c r="K257" s="20" t="n">
        <f aca="false">IF($A257&gt;PARAMETROS!$C$33,"",K256*(1+PARAMETROS!$C$36))</f>
        <v>61032.0236657489</v>
      </c>
      <c r="L257" s="20" t="n">
        <f aca="false">IF($A257&gt;PARAMETROS!$C$33,"",L256*(1+PARAMETROS!$C$37)*(1+M257))</f>
        <v>26590.0642753653</v>
      </c>
      <c r="M257" s="21" t="n">
        <f aca="false">IF($A257&gt;PARAMETROS!$C$33,"",IF(C257&lt;70,PARAMETROS!$C$40,IF(C257&lt;75,PARAMETROS!$C$41,IF(C257&lt;80,PARAMETROS!$C$42,IF(C257&lt;85,PARAMETROS!$C$43,IF(C257&lt;90,PARAMETROS!$C$44,PARAMETROS!$C$45))))))</f>
        <v>0.00041571484472902</v>
      </c>
      <c r="N257" s="20" t="n">
        <f aca="false">IF($A257&gt;PARAMETROS!$C$33,"",K257+L257)</f>
        <v>87622.0879411142</v>
      </c>
      <c r="O257" s="20" t="n">
        <f aca="false">IF($A257&gt;PARAMETROS!$C$33,"",I257+J257-N257)</f>
        <v>-20082.5295066656</v>
      </c>
      <c r="P257" s="20" t="n">
        <f aca="false">IF($A257&gt;PARAMETROS!$C$33,"",MAX(E257+I257+J257-N257,0))</f>
        <v>0</v>
      </c>
      <c r="Q257" s="22" t="str">
        <f aca="false">IF($A257&gt;PARAMETROS!$C$33,"",IF(P257&lt;=0,"AGOTADO","OK"))</f>
        <v>AGOTADO</v>
      </c>
    </row>
    <row r="258" customFormat="false" ht="15" hidden="false" customHeight="false" outlineLevel="0" collapsed="false">
      <c r="A258" s="19" t="n">
        <f aca="false">A257+1</f>
        <v>256</v>
      </c>
      <c r="B258" s="19" t="n">
        <f aca="false">IF($A258="","",ROUNDUP($A258/12,0))</f>
        <v>22</v>
      </c>
      <c r="C258" s="19" t="n">
        <f aca="false">IF($A258="","",PARAMETROS!$C$6+INT(($A258-1)/12))</f>
        <v>86</v>
      </c>
      <c r="D258" s="19" t="n">
        <f aca="false">IF($A258="","",MOD($A258-1,12)+1)</f>
        <v>4</v>
      </c>
      <c r="E258" s="20" t="n">
        <f aca="false">IF($A258&gt;PARAMETROS!$C$33,"",P257)</f>
        <v>0</v>
      </c>
      <c r="F258" s="21" t="n">
        <f aca="false">IF($A258&gt;PARAMETROS!$C$33,"",PARAMETROS!$C$38)</f>
        <v>0.00495440818448101</v>
      </c>
      <c r="G258" s="20" t="n">
        <f aca="false">IF($A258&gt;PARAMETROS!$C$33,"",E258*F258)</f>
        <v>0</v>
      </c>
      <c r="H258" s="20" t="n">
        <f aca="false">IF($A258&gt;PARAMETROS!$C$33,"",E258*PARAMETROS!$C$39)</f>
        <v>0</v>
      </c>
      <c r="I258" s="20" t="n">
        <f aca="false">IF($A258&gt;PARAMETROS!$C$33,"",G258-H258)</f>
        <v>0</v>
      </c>
      <c r="J258" s="20" t="n">
        <f aca="false">IF($A258&gt;PARAMETROS!$C$33,"",PARAMETROS!$C$9*(1+PARAMETROS!$C$17)^(B258-1))</f>
        <v>67539.5584344485</v>
      </c>
      <c r="K258" s="20" t="n">
        <f aca="false">IF($A258&gt;PARAMETROS!$C$33,"",K257*(1+PARAMETROS!$C$36))</f>
        <v>61241.1409859938</v>
      </c>
      <c r="L258" s="20" t="n">
        <f aca="false">IF($A258&gt;PARAMETROS!$C$33,"",L257*(1+PARAMETROS!$C$37)*(1+M258))</f>
        <v>26706.1003550414</v>
      </c>
      <c r="M258" s="21" t="n">
        <f aca="false">IF($A258&gt;PARAMETROS!$C$33,"",IF(C258&lt;70,PARAMETROS!$C$40,IF(C258&lt;75,PARAMETROS!$C$41,IF(C258&lt;80,PARAMETROS!$C$42,IF(C258&lt;85,PARAMETROS!$C$43,IF(C258&lt;90,PARAMETROS!$C$44,PARAMETROS!$C$45))))))</f>
        <v>0.00041571484472902</v>
      </c>
      <c r="N258" s="20" t="n">
        <f aca="false">IF($A258&gt;PARAMETROS!$C$33,"",K258+L258)</f>
        <v>87947.2413410352</v>
      </c>
      <c r="O258" s="20" t="n">
        <f aca="false">IF($A258&gt;PARAMETROS!$C$33,"",I258+J258-N258)</f>
        <v>-20407.6829065866</v>
      </c>
      <c r="P258" s="20" t="n">
        <f aca="false">IF($A258&gt;PARAMETROS!$C$33,"",MAX(E258+I258+J258-N258,0))</f>
        <v>0</v>
      </c>
      <c r="Q258" s="22" t="str">
        <f aca="false">IF($A258&gt;PARAMETROS!$C$33,"",IF(P258&lt;=0,"AGOTADO","OK"))</f>
        <v>AGOTADO</v>
      </c>
    </row>
    <row r="259" customFormat="false" ht="15" hidden="false" customHeight="false" outlineLevel="0" collapsed="false">
      <c r="A259" s="19" t="n">
        <f aca="false">A258+1</f>
        <v>257</v>
      </c>
      <c r="B259" s="19" t="n">
        <f aca="false">IF($A259="","",ROUNDUP($A259/12,0))</f>
        <v>22</v>
      </c>
      <c r="C259" s="19" t="n">
        <f aca="false">IF($A259="","",PARAMETROS!$C$6+INT(($A259-1)/12))</f>
        <v>86</v>
      </c>
      <c r="D259" s="19" t="n">
        <f aca="false">IF($A259="","",MOD($A259-1,12)+1)</f>
        <v>5</v>
      </c>
      <c r="E259" s="20" t="n">
        <f aca="false">IF($A259&gt;PARAMETROS!$C$33,"",P258)</f>
        <v>0</v>
      </c>
      <c r="F259" s="21" t="n">
        <f aca="false">IF($A259&gt;PARAMETROS!$C$33,"",PARAMETROS!$C$38)</f>
        <v>0.00495440818448101</v>
      </c>
      <c r="G259" s="20" t="n">
        <f aca="false">IF($A259&gt;PARAMETROS!$C$33,"",E259*F259)</f>
        <v>0</v>
      </c>
      <c r="H259" s="20" t="n">
        <f aca="false">IF($A259&gt;PARAMETROS!$C$33,"",E259*PARAMETROS!$C$39)</f>
        <v>0</v>
      </c>
      <c r="I259" s="20" t="n">
        <f aca="false">IF($A259&gt;PARAMETROS!$C$33,"",G259-H259)</f>
        <v>0</v>
      </c>
      <c r="J259" s="20" t="n">
        <f aca="false">IF($A259&gt;PARAMETROS!$C$33,"",PARAMETROS!$C$9*(1+PARAMETROS!$C$17)^(B259-1))</f>
        <v>67539.5584344485</v>
      </c>
      <c r="K259" s="20" t="n">
        <f aca="false">IF($A259&gt;PARAMETROS!$C$33,"",K258*(1+PARAMETROS!$C$36))</f>
        <v>61450.9748162116</v>
      </c>
      <c r="L259" s="20" t="n">
        <f aca="false">IF($A259&gt;PARAMETROS!$C$33,"",L258*(1+PARAMETROS!$C$37)*(1+M259))</f>
        <v>26822.6428032486</v>
      </c>
      <c r="M259" s="21" t="n">
        <f aca="false">IF($A259&gt;PARAMETROS!$C$33,"",IF(C259&lt;70,PARAMETROS!$C$40,IF(C259&lt;75,PARAMETROS!$C$41,IF(C259&lt;80,PARAMETROS!$C$42,IF(C259&lt;85,PARAMETROS!$C$43,IF(C259&lt;90,PARAMETROS!$C$44,PARAMETROS!$C$45))))))</f>
        <v>0.00041571484472902</v>
      </c>
      <c r="N259" s="20" t="n">
        <f aca="false">IF($A259&gt;PARAMETROS!$C$33,"",K259+L259)</f>
        <v>88273.6176194602</v>
      </c>
      <c r="O259" s="20" t="n">
        <f aca="false">IF($A259&gt;PARAMETROS!$C$33,"",I259+J259-N259)</f>
        <v>-20734.0591850116</v>
      </c>
      <c r="P259" s="20" t="n">
        <f aca="false">IF($A259&gt;PARAMETROS!$C$33,"",MAX(E259+I259+J259-N259,0))</f>
        <v>0</v>
      </c>
      <c r="Q259" s="22" t="str">
        <f aca="false">IF($A259&gt;PARAMETROS!$C$33,"",IF(P259&lt;=0,"AGOTADO","OK"))</f>
        <v>AGOTADO</v>
      </c>
    </row>
    <row r="260" customFormat="false" ht="15" hidden="false" customHeight="false" outlineLevel="0" collapsed="false">
      <c r="A260" s="19" t="n">
        <f aca="false">A259+1</f>
        <v>258</v>
      </c>
      <c r="B260" s="19" t="n">
        <f aca="false">IF($A260="","",ROUNDUP($A260/12,0))</f>
        <v>22</v>
      </c>
      <c r="C260" s="19" t="n">
        <f aca="false">IF($A260="","",PARAMETROS!$C$6+INT(($A260-1)/12))</f>
        <v>86</v>
      </c>
      <c r="D260" s="19" t="n">
        <f aca="false">IF($A260="","",MOD($A260-1,12)+1)</f>
        <v>6</v>
      </c>
      <c r="E260" s="20" t="n">
        <f aca="false">IF($A260&gt;PARAMETROS!$C$33,"",P259)</f>
        <v>0</v>
      </c>
      <c r="F260" s="21" t="n">
        <f aca="false">IF($A260&gt;PARAMETROS!$C$33,"",PARAMETROS!$C$38)</f>
        <v>0.00495440818448101</v>
      </c>
      <c r="G260" s="20" t="n">
        <f aca="false">IF($A260&gt;PARAMETROS!$C$33,"",E260*F260)</f>
        <v>0</v>
      </c>
      <c r="H260" s="20" t="n">
        <f aca="false">IF($A260&gt;PARAMETROS!$C$33,"",E260*PARAMETROS!$C$39)</f>
        <v>0</v>
      </c>
      <c r="I260" s="20" t="n">
        <f aca="false">IF($A260&gt;PARAMETROS!$C$33,"",G260-H260)</f>
        <v>0</v>
      </c>
      <c r="J260" s="20" t="n">
        <f aca="false">IF($A260&gt;PARAMETROS!$C$33,"",PARAMETROS!$C$9*(1+PARAMETROS!$C$17)^(B260-1))</f>
        <v>67539.5584344485</v>
      </c>
      <c r="K260" s="20" t="n">
        <f aca="false">IF($A260&gt;PARAMETROS!$C$33,"",K259*(1+PARAMETROS!$C$36))</f>
        <v>61661.5276114192</v>
      </c>
      <c r="L260" s="20" t="n">
        <f aca="false">IF($A260&gt;PARAMETROS!$C$33,"",L259*(1+PARAMETROS!$C$37)*(1+M260))</f>
        <v>26939.6938297226</v>
      </c>
      <c r="M260" s="21" t="n">
        <f aca="false">IF($A260&gt;PARAMETROS!$C$33,"",IF(C260&lt;70,PARAMETROS!$C$40,IF(C260&lt;75,PARAMETROS!$C$41,IF(C260&lt;80,PARAMETROS!$C$42,IF(C260&lt;85,PARAMETROS!$C$43,IF(C260&lt;90,PARAMETROS!$C$44,PARAMETROS!$C$45))))))</f>
        <v>0.00041571484472902</v>
      </c>
      <c r="N260" s="20" t="n">
        <f aca="false">IF($A260&gt;PARAMETROS!$C$33,"",K260+L260)</f>
        <v>88601.2214411418</v>
      </c>
      <c r="O260" s="20" t="n">
        <f aca="false">IF($A260&gt;PARAMETROS!$C$33,"",I260+J260-N260)</f>
        <v>-21061.6630066933</v>
      </c>
      <c r="P260" s="20" t="n">
        <f aca="false">IF($A260&gt;PARAMETROS!$C$33,"",MAX(E260+I260+J260-N260,0))</f>
        <v>0</v>
      </c>
      <c r="Q260" s="22" t="str">
        <f aca="false">IF($A260&gt;PARAMETROS!$C$33,"",IF(P260&lt;=0,"AGOTADO","OK"))</f>
        <v>AGOTADO</v>
      </c>
    </row>
    <row r="261" customFormat="false" ht="15" hidden="false" customHeight="false" outlineLevel="0" collapsed="false">
      <c r="A261" s="19" t="n">
        <f aca="false">A260+1</f>
        <v>259</v>
      </c>
      <c r="B261" s="19" t="n">
        <f aca="false">IF($A261="","",ROUNDUP($A261/12,0))</f>
        <v>22</v>
      </c>
      <c r="C261" s="19" t="n">
        <f aca="false">IF($A261="","",PARAMETROS!$C$6+INT(($A261-1)/12))</f>
        <v>86</v>
      </c>
      <c r="D261" s="19" t="n">
        <f aca="false">IF($A261="","",MOD($A261-1,12)+1)</f>
        <v>7</v>
      </c>
      <c r="E261" s="20" t="n">
        <f aca="false">IF($A261&gt;PARAMETROS!$C$33,"",P260)</f>
        <v>0</v>
      </c>
      <c r="F261" s="21" t="n">
        <f aca="false">IF($A261&gt;PARAMETROS!$C$33,"",PARAMETROS!$C$38)</f>
        <v>0.00495440818448101</v>
      </c>
      <c r="G261" s="20" t="n">
        <f aca="false">IF($A261&gt;PARAMETROS!$C$33,"",E261*F261)</f>
        <v>0</v>
      </c>
      <c r="H261" s="20" t="n">
        <f aca="false">IF($A261&gt;PARAMETROS!$C$33,"",E261*PARAMETROS!$C$39)</f>
        <v>0</v>
      </c>
      <c r="I261" s="20" t="n">
        <f aca="false">IF($A261&gt;PARAMETROS!$C$33,"",G261-H261)</f>
        <v>0</v>
      </c>
      <c r="J261" s="20" t="n">
        <f aca="false">IF($A261&gt;PARAMETROS!$C$33,"",PARAMETROS!$C$9*(1+PARAMETROS!$C$17)^(B261-1))</f>
        <v>67539.5584344485</v>
      </c>
      <c r="K261" s="20" t="n">
        <f aca="false">IF($A261&gt;PARAMETROS!$C$33,"",K260*(1+PARAMETROS!$C$36))</f>
        <v>61872.8018350452</v>
      </c>
      <c r="L261" s="20" t="n">
        <f aca="false">IF($A261&gt;PARAMETROS!$C$33,"",L260*(1+PARAMETROS!$C$37)*(1+M261))</f>
        <v>27057.2556538425</v>
      </c>
      <c r="M261" s="21" t="n">
        <f aca="false">IF($A261&gt;PARAMETROS!$C$33,"",IF(C261&lt;70,PARAMETROS!$C$40,IF(C261&lt;75,PARAMETROS!$C$41,IF(C261&lt;80,PARAMETROS!$C$42,IF(C261&lt;85,PARAMETROS!$C$43,IF(C261&lt;90,PARAMETROS!$C$44,PARAMETROS!$C$45))))))</f>
        <v>0.00041571484472902</v>
      </c>
      <c r="N261" s="20" t="n">
        <f aca="false">IF($A261&gt;PARAMETROS!$C$33,"",K261+L261)</f>
        <v>88930.0574888877</v>
      </c>
      <c r="O261" s="20" t="n">
        <f aca="false">IF($A261&gt;PARAMETROS!$C$33,"",I261+J261-N261)</f>
        <v>-21390.4990544391</v>
      </c>
      <c r="P261" s="20" t="n">
        <f aca="false">IF($A261&gt;PARAMETROS!$C$33,"",MAX(E261+I261+J261-N261,0))</f>
        <v>0</v>
      </c>
      <c r="Q261" s="22" t="str">
        <f aca="false">IF($A261&gt;PARAMETROS!$C$33,"",IF(P261&lt;=0,"AGOTADO","OK"))</f>
        <v>AGOTADO</v>
      </c>
    </row>
    <row r="262" customFormat="false" ht="15" hidden="false" customHeight="false" outlineLevel="0" collapsed="false">
      <c r="A262" s="19" t="n">
        <f aca="false">A261+1</f>
        <v>260</v>
      </c>
      <c r="B262" s="19" t="n">
        <f aca="false">IF($A262="","",ROUNDUP($A262/12,0))</f>
        <v>22</v>
      </c>
      <c r="C262" s="19" t="n">
        <f aca="false">IF($A262="","",PARAMETROS!$C$6+INT(($A262-1)/12))</f>
        <v>86</v>
      </c>
      <c r="D262" s="19" t="n">
        <f aca="false">IF($A262="","",MOD($A262-1,12)+1)</f>
        <v>8</v>
      </c>
      <c r="E262" s="20" t="n">
        <f aca="false">IF($A262&gt;PARAMETROS!$C$33,"",P261)</f>
        <v>0</v>
      </c>
      <c r="F262" s="21" t="n">
        <f aca="false">IF($A262&gt;PARAMETROS!$C$33,"",PARAMETROS!$C$38)</f>
        <v>0.00495440818448101</v>
      </c>
      <c r="G262" s="20" t="n">
        <f aca="false">IF($A262&gt;PARAMETROS!$C$33,"",E262*F262)</f>
        <v>0</v>
      </c>
      <c r="H262" s="20" t="n">
        <f aca="false">IF($A262&gt;PARAMETROS!$C$33,"",E262*PARAMETROS!$C$39)</f>
        <v>0</v>
      </c>
      <c r="I262" s="20" t="n">
        <f aca="false">IF($A262&gt;PARAMETROS!$C$33,"",G262-H262)</f>
        <v>0</v>
      </c>
      <c r="J262" s="20" t="n">
        <f aca="false">IF($A262&gt;PARAMETROS!$C$33,"",PARAMETROS!$C$9*(1+PARAMETROS!$C$17)^(B262-1))</f>
        <v>67539.5584344485</v>
      </c>
      <c r="K262" s="20" t="n">
        <f aca="false">IF($A262&gt;PARAMETROS!$C$33,"",K261*(1+PARAMETROS!$C$36))</f>
        <v>62084.7999589588</v>
      </c>
      <c r="L262" s="20" t="n">
        <f aca="false">IF($A262&gt;PARAMETROS!$C$33,"",L261*(1+PARAMETROS!$C$37)*(1+M262))</f>
        <v>27175.3305046722</v>
      </c>
      <c r="M262" s="21" t="n">
        <f aca="false">IF($A262&gt;PARAMETROS!$C$33,"",IF(C262&lt;70,PARAMETROS!$C$40,IF(C262&lt;75,PARAMETROS!$C$41,IF(C262&lt;80,PARAMETROS!$C$42,IF(C262&lt;85,PARAMETROS!$C$43,IF(C262&lt;90,PARAMETROS!$C$44,PARAMETROS!$C$45))))))</f>
        <v>0.00041571484472902</v>
      </c>
      <c r="N262" s="20" t="n">
        <f aca="false">IF($A262&gt;PARAMETROS!$C$33,"",K262+L262)</f>
        <v>89260.130463631</v>
      </c>
      <c r="O262" s="20" t="n">
        <f aca="false">IF($A262&gt;PARAMETROS!$C$33,"",I262+J262-N262)</f>
        <v>-21720.5720291824</v>
      </c>
      <c r="P262" s="20" t="n">
        <f aca="false">IF($A262&gt;PARAMETROS!$C$33,"",MAX(E262+I262+J262-N262,0))</f>
        <v>0</v>
      </c>
      <c r="Q262" s="22" t="str">
        <f aca="false">IF($A262&gt;PARAMETROS!$C$33,"",IF(P262&lt;=0,"AGOTADO","OK"))</f>
        <v>AGOTADO</v>
      </c>
    </row>
    <row r="263" customFormat="false" ht="15" hidden="false" customHeight="false" outlineLevel="0" collapsed="false">
      <c r="A263" s="19" t="n">
        <f aca="false">A262+1</f>
        <v>261</v>
      </c>
      <c r="B263" s="19" t="n">
        <f aca="false">IF($A263="","",ROUNDUP($A263/12,0))</f>
        <v>22</v>
      </c>
      <c r="C263" s="19" t="n">
        <f aca="false">IF($A263="","",PARAMETROS!$C$6+INT(($A263-1)/12))</f>
        <v>86</v>
      </c>
      <c r="D263" s="19" t="n">
        <f aca="false">IF($A263="","",MOD($A263-1,12)+1)</f>
        <v>9</v>
      </c>
      <c r="E263" s="20" t="n">
        <f aca="false">IF($A263&gt;PARAMETROS!$C$33,"",P262)</f>
        <v>0</v>
      </c>
      <c r="F263" s="21" t="n">
        <f aca="false">IF($A263&gt;PARAMETROS!$C$33,"",PARAMETROS!$C$38)</f>
        <v>0.00495440818448101</v>
      </c>
      <c r="G263" s="20" t="n">
        <f aca="false">IF($A263&gt;PARAMETROS!$C$33,"",E263*F263)</f>
        <v>0</v>
      </c>
      <c r="H263" s="20" t="n">
        <f aca="false">IF($A263&gt;PARAMETROS!$C$33,"",E263*PARAMETROS!$C$39)</f>
        <v>0</v>
      </c>
      <c r="I263" s="20" t="n">
        <f aca="false">IF($A263&gt;PARAMETROS!$C$33,"",G263-H263)</f>
        <v>0</v>
      </c>
      <c r="J263" s="20" t="n">
        <f aca="false">IF($A263&gt;PARAMETROS!$C$33,"",PARAMETROS!$C$9*(1+PARAMETROS!$C$17)^(B263-1))</f>
        <v>67539.5584344485</v>
      </c>
      <c r="K263" s="20" t="n">
        <f aca="false">IF($A263&gt;PARAMETROS!$C$33,"",K262*(1+PARAMETROS!$C$36))</f>
        <v>62297.5244634985</v>
      </c>
      <c r="L263" s="20" t="n">
        <f aca="false">IF($A263&gt;PARAMETROS!$C$33,"",L262*(1+PARAMETROS!$C$37)*(1+M263))</f>
        <v>27293.9206210033</v>
      </c>
      <c r="M263" s="21" t="n">
        <f aca="false">IF($A263&gt;PARAMETROS!$C$33,"",IF(C263&lt;70,PARAMETROS!$C$40,IF(C263&lt;75,PARAMETROS!$C$41,IF(C263&lt;80,PARAMETROS!$C$42,IF(C263&lt;85,PARAMETROS!$C$43,IF(C263&lt;90,PARAMETROS!$C$44,PARAMETROS!$C$45))))))</f>
        <v>0.00041571484472902</v>
      </c>
      <c r="N263" s="20" t="n">
        <f aca="false">IF($A263&gt;PARAMETROS!$C$33,"",K263+L263)</f>
        <v>89591.4450845018</v>
      </c>
      <c r="O263" s="20" t="n">
        <f aca="false">IF($A263&gt;PARAMETROS!$C$33,"",I263+J263-N263)</f>
        <v>-22051.8866500532</v>
      </c>
      <c r="P263" s="20" t="n">
        <f aca="false">IF($A263&gt;PARAMETROS!$C$33,"",MAX(E263+I263+J263-N263,0))</f>
        <v>0</v>
      </c>
      <c r="Q263" s="22" t="str">
        <f aca="false">IF($A263&gt;PARAMETROS!$C$33,"",IF(P263&lt;=0,"AGOTADO","OK"))</f>
        <v>AGOTADO</v>
      </c>
    </row>
    <row r="264" customFormat="false" ht="15" hidden="false" customHeight="false" outlineLevel="0" collapsed="false">
      <c r="A264" s="19" t="n">
        <f aca="false">A263+1</f>
        <v>262</v>
      </c>
      <c r="B264" s="19" t="n">
        <f aca="false">IF($A264="","",ROUNDUP($A264/12,0))</f>
        <v>22</v>
      </c>
      <c r="C264" s="19" t="n">
        <f aca="false">IF($A264="","",PARAMETROS!$C$6+INT(($A264-1)/12))</f>
        <v>86</v>
      </c>
      <c r="D264" s="19" t="n">
        <f aca="false">IF($A264="","",MOD($A264-1,12)+1)</f>
        <v>10</v>
      </c>
      <c r="E264" s="20" t="n">
        <f aca="false">IF($A264&gt;PARAMETROS!$C$33,"",P263)</f>
        <v>0</v>
      </c>
      <c r="F264" s="21" t="n">
        <f aca="false">IF($A264&gt;PARAMETROS!$C$33,"",PARAMETROS!$C$38)</f>
        <v>0.00495440818448101</v>
      </c>
      <c r="G264" s="20" t="n">
        <f aca="false">IF($A264&gt;PARAMETROS!$C$33,"",E264*F264)</f>
        <v>0</v>
      </c>
      <c r="H264" s="20" t="n">
        <f aca="false">IF($A264&gt;PARAMETROS!$C$33,"",E264*PARAMETROS!$C$39)</f>
        <v>0</v>
      </c>
      <c r="I264" s="20" t="n">
        <f aca="false">IF($A264&gt;PARAMETROS!$C$33,"",G264-H264)</f>
        <v>0</v>
      </c>
      <c r="J264" s="20" t="n">
        <f aca="false">IF($A264&gt;PARAMETROS!$C$33,"",PARAMETROS!$C$9*(1+PARAMETROS!$C$17)^(B264-1))</f>
        <v>67539.5584344485</v>
      </c>
      <c r="K264" s="20" t="n">
        <f aca="false">IF($A264&gt;PARAMETROS!$C$33,"",K263*(1+PARAMETROS!$C$36))</f>
        <v>62510.9778375017</v>
      </c>
      <c r="L264" s="20" t="n">
        <f aca="false">IF($A264&gt;PARAMETROS!$C$33,"",L263*(1+PARAMETROS!$C$37)*(1+M264))</f>
        <v>27413.0282513969</v>
      </c>
      <c r="M264" s="21" t="n">
        <f aca="false">IF($A264&gt;PARAMETROS!$C$33,"",IF(C264&lt;70,PARAMETROS!$C$40,IF(C264&lt;75,PARAMETROS!$C$41,IF(C264&lt;80,PARAMETROS!$C$42,IF(C264&lt;85,PARAMETROS!$C$43,IF(C264&lt;90,PARAMETROS!$C$44,PARAMETROS!$C$45))))))</f>
        <v>0.00041571484472902</v>
      </c>
      <c r="N264" s="20" t="n">
        <f aca="false">IF($A264&gt;PARAMETROS!$C$33,"",K264+L264)</f>
        <v>89924.0060888986</v>
      </c>
      <c r="O264" s="20" t="n">
        <f aca="false">IF($A264&gt;PARAMETROS!$C$33,"",I264+J264-N264)</f>
        <v>-22384.44765445</v>
      </c>
      <c r="P264" s="20" t="n">
        <f aca="false">IF($A264&gt;PARAMETROS!$C$33,"",MAX(E264+I264+J264-N264,0))</f>
        <v>0</v>
      </c>
      <c r="Q264" s="22" t="str">
        <f aca="false">IF($A264&gt;PARAMETROS!$C$33,"",IF(P264&lt;=0,"AGOTADO","OK"))</f>
        <v>AGOTADO</v>
      </c>
    </row>
    <row r="265" customFormat="false" ht="15" hidden="false" customHeight="false" outlineLevel="0" collapsed="false">
      <c r="A265" s="19" t="n">
        <f aca="false">A264+1</f>
        <v>263</v>
      </c>
      <c r="B265" s="19" t="n">
        <f aca="false">IF($A265="","",ROUNDUP($A265/12,0))</f>
        <v>22</v>
      </c>
      <c r="C265" s="19" t="n">
        <f aca="false">IF($A265="","",PARAMETROS!$C$6+INT(($A265-1)/12))</f>
        <v>86</v>
      </c>
      <c r="D265" s="19" t="n">
        <f aca="false">IF($A265="","",MOD($A265-1,12)+1)</f>
        <v>11</v>
      </c>
      <c r="E265" s="20" t="n">
        <f aca="false">IF($A265&gt;PARAMETROS!$C$33,"",P264)</f>
        <v>0</v>
      </c>
      <c r="F265" s="21" t="n">
        <f aca="false">IF($A265&gt;PARAMETROS!$C$33,"",PARAMETROS!$C$38)</f>
        <v>0.00495440818448101</v>
      </c>
      <c r="G265" s="20" t="n">
        <f aca="false">IF($A265&gt;PARAMETROS!$C$33,"",E265*F265)</f>
        <v>0</v>
      </c>
      <c r="H265" s="20" t="n">
        <f aca="false">IF($A265&gt;PARAMETROS!$C$33,"",E265*PARAMETROS!$C$39)</f>
        <v>0</v>
      </c>
      <c r="I265" s="20" t="n">
        <f aca="false">IF($A265&gt;PARAMETROS!$C$33,"",G265-H265)</f>
        <v>0</v>
      </c>
      <c r="J265" s="20" t="n">
        <f aca="false">IF($A265&gt;PARAMETROS!$C$33,"",PARAMETROS!$C$9*(1+PARAMETROS!$C$17)^(B265-1))</f>
        <v>67539.5584344485</v>
      </c>
      <c r="K265" s="20" t="n">
        <f aca="false">IF($A265&gt;PARAMETROS!$C$33,"",K264*(1+PARAMETROS!$C$36))</f>
        <v>62725.1625783331</v>
      </c>
      <c r="L265" s="20" t="n">
        <f aca="false">IF($A265&gt;PARAMETROS!$C$33,"",L264*(1+PARAMETROS!$C$37)*(1+M265))</f>
        <v>27532.6556542268</v>
      </c>
      <c r="M265" s="21" t="n">
        <f aca="false">IF($A265&gt;PARAMETROS!$C$33,"",IF(C265&lt;70,PARAMETROS!$C$40,IF(C265&lt;75,PARAMETROS!$C$41,IF(C265&lt;80,PARAMETROS!$C$42,IF(C265&lt;85,PARAMETROS!$C$43,IF(C265&lt;90,PARAMETROS!$C$44,PARAMETROS!$C$45))))))</f>
        <v>0.00041571484472902</v>
      </c>
      <c r="N265" s="20" t="n">
        <f aca="false">IF($A265&gt;PARAMETROS!$C$33,"",K265+L265)</f>
        <v>90257.8182325599</v>
      </c>
      <c r="O265" s="20" t="n">
        <f aca="false">IF($A265&gt;PARAMETROS!$C$33,"",I265+J265-N265)</f>
        <v>-22718.2597981114</v>
      </c>
      <c r="P265" s="20" t="n">
        <f aca="false">IF($A265&gt;PARAMETROS!$C$33,"",MAX(E265+I265+J265-N265,0))</f>
        <v>0</v>
      </c>
      <c r="Q265" s="22" t="str">
        <f aca="false">IF($A265&gt;PARAMETROS!$C$33,"",IF(P265&lt;=0,"AGOTADO","OK"))</f>
        <v>AGOTADO</v>
      </c>
    </row>
    <row r="266" customFormat="false" ht="15" hidden="false" customHeight="false" outlineLevel="0" collapsed="false">
      <c r="A266" s="19" t="n">
        <f aca="false">A265+1</f>
        <v>264</v>
      </c>
      <c r="B266" s="19" t="n">
        <f aca="false">IF($A266="","",ROUNDUP($A266/12,0))</f>
        <v>22</v>
      </c>
      <c r="C266" s="19" t="n">
        <f aca="false">IF($A266="","",PARAMETROS!$C$6+INT(($A266-1)/12))</f>
        <v>86</v>
      </c>
      <c r="D266" s="19" t="n">
        <f aca="false">IF($A266="","",MOD($A266-1,12)+1)</f>
        <v>12</v>
      </c>
      <c r="E266" s="20" t="n">
        <f aca="false">IF($A266&gt;PARAMETROS!$C$33,"",P265)</f>
        <v>0</v>
      </c>
      <c r="F266" s="21" t="n">
        <f aca="false">IF($A266&gt;PARAMETROS!$C$33,"",PARAMETROS!$C$38)</f>
        <v>0.00495440818448101</v>
      </c>
      <c r="G266" s="20" t="n">
        <f aca="false">IF($A266&gt;PARAMETROS!$C$33,"",E266*F266)</f>
        <v>0</v>
      </c>
      <c r="H266" s="20" t="n">
        <f aca="false">IF($A266&gt;PARAMETROS!$C$33,"",E266*PARAMETROS!$C$39)</f>
        <v>0</v>
      </c>
      <c r="I266" s="20" t="n">
        <f aca="false">IF($A266&gt;PARAMETROS!$C$33,"",G266-H266)</f>
        <v>0</v>
      </c>
      <c r="J266" s="20" t="n">
        <f aca="false">IF($A266&gt;PARAMETROS!$C$33,"",PARAMETROS!$C$9*(1+PARAMETROS!$C$17)^(B266-1))</f>
        <v>67539.5584344485</v>
      </c>
      <c r="K266" s="20" t="n">
        <f aca="false">IF($A266&gt;PARAMETROS!$C$33,"",K265*(1+PARAMETROS!$C$36))</f>
        <v>62940.0811919144</v>
      </c>
      <c r="L266" s="20" t="n">
        <f aca="false">IF($A266&gt;PARAMETROS!$C$33,"",L265*(1+PARAMETROS!$C$37)*(1+M266))</f>
        <v>27652.8050977222</v>
      </c>
      <c r="M266" s="21" t="n">
        <f aca="false">IF($A266&gt;PARAMETROS!$C$33,"",IF(C266&lt;70,PARAMETROS!$C$40,IF(C266&lt;75,PARAMETROS!$C$41,IF(C266&lt;80,PARAMETROS!$C$42,IF(C266&lt;85,PARAMETROS!$C$43,IF(C266&lt;90,PARAMETROS!$C$44,PARAMETROS!$C$45))))))</f>
        <v>0.00041571484472902</v>
      </c>
      <c r="N266" s="20" t="n">
        <f aca="false">IF($A266&gt;PARAMETROS!$C$33,"",K266+L266)</f>
        <v>90592.8862896366</v>
      </c>
      <c r="O266" s="20" t="n">
        <f aca="false">IF($A266&gt;PARAMETROS!$C$33,"",I266+J266-N266)</f>
        <v>-23053.327855188</v>
      </c>
      <c r="P266" s="20" t="n">
        <f aca="false">IF($A266&gt;PARAMETROS!$C$33,"",MAX(E266+I266+J266-N266,0))</f>
        <v>0</v>
      </c>
      <c r="Q266" s="22" t="str">
        <f aca="false">IF($A266&gt;PARAMETROS!$C$33,"",IF(P266&lt;=0,"AGOTADO","OK"))</f>
        <v>AGOTADO</v>
      </c>
    </row>
    <row r="267" customFormat="false" ht="15" hidden="false" customHeight="false" outlineLevel="0" collapsed="false">
      <c r="A267" s="15" t="n">
        <f aca="false">A266+1</f>
        <v>265</v>
      </c>
      <c r="B267" s="15" t="n">
        <f aca="false">IF($A267="","",ROUNDUP($A267/12,0))</f>
        <v>23</v>
      </c>
      <c r="C267" s="15" t="n">
        <f aca="false">IF($A267="","",PARAMETROS!$C$6+INT(($A267-1)/12))</f>
        <v>87</v>
      </c>
      <c r="D267" s="15" t="n">
        <f aca="false">IF($A267="","",MOD($A267-1,12)+1)</f>
        <v>1</v>
      </c>
      <c r="E267" s="16" t="n">
        <f aca="false">IF($A267&gt;PARAMETROS!$C$33,"",P266)</f>
        <v>0</v>
      </c>
      <c r="F267" s="17" t="n">
        <f aca="false">IF($A267&gt;PARAMETROS!$C$33,"",PARAMETROS!$C$38)</f>
        <v>0.00495440818448101</v>
      </c>
      <c r="G267" s="16" t="n">
        <f aca="false">IF($A267&gt;PARAMETROS!$C$33,"",E267*F267)</f>
        <v>0</v>
      </c>
      <c r="H267" s="16" t="n">
        <f aca="false">IF($A267&gt;PARAMETROS!$C$33,"",E267*PARAMETROS!$C$39)</f>
        <v>0</v>
      </c>
      <c r="I267" s="16" t="n">
        <f aca="false">IF($A267&gt;PARAMETROS!$C$33,"",G267-H267)</f>
        <v>0</v>
      </c>
      <c r="J267" s="16" t="n">
        <f aca="false">IF($A267&gt;PARAMETROS!$C$33,"",PARAMETROS!$C$9*(1+PARAMETROS!$C$17)^(B267-1))</f>
        <v>70200.6170367658</v>
      </c>
      <c r="K267" s="16" t="n">
        <f aca="false">IF($A267&gt;PARAMETROS!$C$33,"",K266*(1+PARAMETROS!$C$36))</f>
        <v>63155.7361927535</v>
      </c>
      <c r="L267" s="16" t="n">
        <f aca="false">IF($A267&gt;PARAMETROS!$C$33,"",L266*(1+PARAMETROS!$C$37)*(1+M267))</f>
        <v>27773.4788600102</v>
      </c>
      <c r="M267" s="17" t="n">
        <f aca="false">IF($A267&gt;PARAMETROS!$C$33,"",IF(C267&lt;70,PARAMETROS!$C$40,IF(C267&lt;75,PARAMETROS!$C$41,IF(C267&lt;80,PARAMETROS!$C$42,IF(C267&lt;85,PARAMETROS!$C$43,IF(C267&lt;90,PARAMETROS!$C$44,PARAMETROS!$C$45))))))</f>
        <v>0.00041571484472902</v>
      </c>
      <c r="N267" s="16" t="n">
        <f aca="false">IF($A267&gt;PARAMETROS!$C$33,"",K267+L267)</f>
        <v>90929.2150527636</v>
      </c>
      <c r="O267" s="16" t="n">
        <f aca="false">IF($A267&gt;PARAMETROS!$C$33,"",I267+J267-N267)</f>
        <v>-20728.5980159978</v>
      </c>
      <c r="P267" s="16" t="n">
        <f aca="false">IF($A267&gt;PARAMETROS!$C$33,"",MAX(E267+I267+J267-N267,0))</f>
        <v>0</v>
      </c>
      <c r="Q267" s="18" t="str">
        <f aca="false">IF($A267&gt;PARAMETROS!$C$33,"",IF(P267&lt;=0,"AGOTADO","OK"))</f>
        <v>AGOTADO</v>
      </c>
    </row>
    <row r="268" customFormat="false" ht="15" hidden="false" customHeight="false" outlineLevel="0" collapsed="false">
      <c r="A268" s="15" t="n">
        <f aca="false">A267+1</f>
        <v>266</v>
      </c>
      <c r="B268" s="15" t="n">
        <f aca="false">IF($A268="","",ROUNDUP($A268/12,0))</f>
        <v>23</v>
      </c>
      <c r="C268" s="15" t="n">
        <f aca="false">IF($A268="","",PARAMETROS!$C$6+INT(($A268-1)/12))</f>
        <v>87</v>
      </c>
      <c r="D268" s="15" t="n">
        <f aca="false">IF($A268="","",MOD($A268-1,12)+1)</f>
        <v>2</v>
      </c>
      <c r="E268" s="16" t="n">
        <f aca="false">IF($A268&gt;PARAMETROS!$C$33,"",P267)</f>
        <v>0</v>
      </c>
      <c r="F268" s="17" t="n">
        <f aca="false">IF($A268&gt;PARAMETROS!$C$33,"",PARAMETROS!$C$38)</f>
        <v>0.00495440818448101</v>
      </c>
      <c r="G268" s="16" t="n">
        <f aca="false">IF($A268&gt;PARAMETROS!$C$33,"",E268*F268)</f>
        <v>0</v>
      </c>
      <c r="H268" s="16" t="n">
        <f aca="false">IF($A268&gt;PARAMETROS!$C$33,"",E268*PARAMETROS!$C$39)</f>
        <v>0</v>
      </c>
      <c r="I268" s="16" t="n">
        <f aca="false">IF($A268&gt;PARAMETROS!$C$33,"",G268-H268)</f>
        <v>0</v>
      </c>
      <c r="J268" s="16" t="n">
        <f aca="false">IF($A268&gt;PARAMETROS!$C$33,"",PARAMETROS!$C$9*(1+PARAMETROS!$C$17)^(B268-1))</f>
        <v>70200.6170367658</v>
      </c>
      <c r="K268" s="16" t="n">
        <f aca="false">IF($A268&gt;PARAMETROS!$C$33,"",K267*(1+PARAMETROS!$C$36))</f>
        <v>63372.1301039737</v>
      </c>
      <c r="L268" s="16" t="n">
        <f aca="false">IF($A268&gt;PARAMETROS!$C$33,"",L267*(1+PARAMETROS!$C$37)*(1+M268))</f>
        <v>27894.6792291597</v>
      </c>
      <c r="M268" s="17" t="n">
        <f aca="false">IF($A268&gt;PARAMETROS!$C$33,"",IF(C268&lt;70,PARAMETROS!$C$40,IF(C268&lt;75,PARAMETROS!$C$41,IF(C268&lt;80,PARAMETROS!$C$42,IF(C268&lt;85,PARAMETROS!$C$43,IF(C268&lt;90,PARAMETROS!$C$44,PARAMETROS!$C$45))))))</f>
        <v>0.00041571484472902</v>
      </c>
      <c r="N268" s="16" t="n">
        <f aca="false">IF($A268&gt;PARAMETROS!$C$33,"",K268+L268)</f>
        <v>91266.8093331334</v>
      </c>
      <c r="O268" s="16" t="n">
        <f aca="false">IF($A268&gt;PARAMETROS!$C$33,"",I268+J268-N268)</f>
        <v>-21066.1922963676</v>
      </c>
      <c r="P268" s="16" t="n">
        <f aca="false">IF($A268&gt;PARAMETROS!$C$33,"",MAX(E268+I268+J268-N268,0))</f>
        <v>0</v>
      </c>
      <c r="Q268" s="18" t="str">
        <f aca="false">IF($A268&gt;PARAMETROS!$C$33,"",IF(P268&lt;=0,"AGOTADO","OK"))</f>
        <v>AGOTADO</v>
      </c>
    </row>
    <row r="269" customFormat="false" ht="15" hidden="false" customHeight="false" outlineLevel="0" collapsed="false">
      <c r="A269" s="15" t="n">
        <f aca="false">A268+1</f>
        <v>267</v>
      </c>
      <c r="B269" s="15" t="n">
        <f aca="false">IF($A269="","",ROUNDUP($A269/12,0))</f>
        <v>23</v>
      </c>
      <c r="C269" s="15" t="n">
        <f aca="false">IF($A269="","",PARAMETROS!$C$6+INT(($A269-1)/12))</f>
        <v>87</v>
      </c>
      <c r="D269" s="15" t="n">
        <f aca="false">IF($A269="","",MOD($A269-1,12)+1)</f>
        <v>3</v>
      </c>
      <c r="E269" s="16" t="n">
        <f aca="false">IF($A269&gt;PARAMETROS!$C$33,"",P268)</f>
        <v>0</v>
      </c>
      <c r="F269" s="17" t="n">
        <f aca="false">IF($A269&gt;PARAMETROS!$C$33,"",PARAMETROS!$C$38)</f>
        <v>0.00495440818448101</v>
      </c>
      <c r="G269" s="16" t="n">
        <f aca="false">IF($A269&gt;PARAMETROS!$C$33,"",E269*F269)</f>
        <v>0</v>
      </c>
      <c r="H269" s="16" t="n">
        <f aca="false">IF($A269&gt;PARAMETROS!$C$33,"",E269*PARAMETROS!$C$39)</f>
        <v>0</v>
      </c>
      <c r="I269" s="16" t="n">
        <f aca="false">IF($A269&gt;PARAMETROS!$C$33,"",G269-H269)</f>
        <v>0</v>
      </c>
      <c r="J269" s="16" t="n">
        <f aca="false">IF($A269&gt;PARAMETROS!$C$33,"",PARAMETROS!$C$9*(1+PARAMETROS!$C$17)^(B269-1))</f>
        <v>70200.6170367658</v>
      </c>
      <c r="K269" s="16" t="n">
        <f aca="false">IF($A269&gt;PARAMETROS!$C$33,"",K268*(1+PARAMETROS!$C$36))</f>
        <v>63589.2654573438</v>
      </c>
      <c r="L269" s="16" t="n">
        <f aca="false">IF($A269&gt;PARAMETROS!$C$33,"",L268*(1+PARAMETROS!$C$37)*(1+M269))</f>
        <v>28016.4085032244</v>
      </c>
      <c r="M269" s="17" t="n">
        <f aca="false">IF($A269&gt;PARAMETROS!$C$33,"",IF(C269&lt;70,PARAMETROS!$C$40,IF(C269&lt;75,PARAMETROS!$C$41,IF(C269&lt;80,PARAMETROS!$C$42,IF(C269&lt;85,PARAMETROS!$C$43,IF(C269&lt;90,PARAMETROS!$C$44,PARAMETROS!$C$45))))))</f>
        <v>0.00041571484472902</v>
      </c>
      <c r="N269" s="16" t="n">
        <f aca="false">IF($A269&gt;PARAMETROS!$C$33,"",K269+L269)</f>
        <v>91605.6739605682</v>
      </c>
      <c r="O269" s="16" t="n">
        <f aca="false">IF($A269&gt;PARAMETROS!$C$33,"",I269+J269-N269)</f>
        <v>-21405.0569238024</v>
      </c>
      <c r="P269" s="16" t="n">
        <f aca="false">IF($A269&gt;PARAMETROS!$C$33,"",MAX(E269+I269+J269-N269,0))</f>
        <v>0</v>
      </c>
      <c r="Q269" s="18" t="str">
        <f aca="false">IF($A269&gt;PARAMETROS!$C$33,"",IF(P269&lt;=0,"AGOTADO","OK"))</f>
        <v>AGOTADO</v>
      </c>
    </row>
    <row r="270" customFormat="false" ht="15" hidden="false" customHeight="false" outlineLevel="0" collapsed="false">
      <c r="A270" s="15" t="n">
        <f aca="false">A269+1</f>
        <v>268</v>
      </c>
      <c r="B270" s="15" t="n">
        <f aca="false">IF($A270="","",ROUNDUP($A270/12,0))</f>
        <v>23</v>
      </c>
      <c r="C270" s="15" t="n">
        <f aca="false">IF($A270="","",PARAMETROS!$C$6+INT(($A270-1)/12))</f>
        <v>87</v>
      </c>
      <c r="D270" s="15" t="n">
        <f aca="false">IF($A270="","",MOD($A270-1,12)+1)</f>
        <v>4</v>
      </c>
      <c r="E270" s="16" t="n">
        <f aca="false">IF($A270&gt;PARAMETROS!$C$33,"",P269)</f>
        <v>0</v>
      </c>
      <c r="F270" s="17" t="n">
        <f aca="false">IF($A270&gt;PARAMETROS!$C$33,"",PARAMETROS!$C$38)</f>
        <v>0.00495440818448101</v>
      </c>
      <c r="G270" s="16" t="n">
        <f aca="false">IF($A270&gt;PARAMETROS!$C$33,"",E270*F270)</f>
        <v>0</v>
      </c>
      <c r="H270" s="16" t="n">
        <f aca="false">IF($A270&gt;PARAMETROS!$C$33,"",E270*PARAMETROS!$C$39)</f>
        <v>0</v>
      </c>
      <c r="I270" s="16" t="n">
        <f aca="false">IF($A270&gt;PARAMETROS!$C$33,"",G270-H270)</f>
        <v>0</v>
      </c>
      <c r="J270" s="16" t="n">
        <f aca="false">IF($A270&gt;PARAMETROS!$C$33,"",PARAMETROS!$C$9*(1+PARAMETROS!$C$17)^(B270-1))</f>
        <v>70200.6170367658</v>
      </c>
      <c r="K270" s="16" t="n">
        <f aca="false">IF($A270&gt;PARAMETROS!$C$33,"",K269*(1+PARAMETROS!$C$36))</f>
        <v>63807.1447933069</v>
      </c>
      <c r="L270" s="16" t="n">
        <f aca="false">IF($A270&gt;PARAMETROS!$C$33,"",L269*(1+PARAMETROS!$C$37)*(1+M270))</f>
        <v>28138.6689902866</v>
      </c>
      <c r="M270" s="17" t="n">
        <f aca="false">IF($A270&gt;PARAMETROS!$C$33,"",IF(C270&lt;70,PARAMETROS!$C$40,IF(C270&lt;75,PARAMETROS!$C$41,IF(C270&lt;80,PARAMETROS!$C$42,IF(C270&lt;85,PARAMETROS!$C$43,IF(C270&lt;90,PARAMETROS!$C$44,PARAMETROS!$C$45))))))</f>
        <v>0.00041571484472902</v>
      </c>
      <c r="N270" s="16" t="n">
        <f aca="false">IF($A270&gt;PARAMETROS!$C$33,"",K270+L270)</f>
        <v>91945.8137835935</v>
      </c>
      <c r="O270" s="16" t="n">
        <f aca="false">IF($A270&gt;PARAMETROS!$C$33,"",I270+J270-N270)</f>
        <v>-21745.1967468277</v>
      </c>
      <c r="P270" s="16" t="n">
        <f aca="false">IF($A270&gt;PARAMETROS!$C$33,"",MAX(E270+I270+J270-N270,0))</f>
        <v>0</v>
      </c>
      <c r="Q270" s="18" t="str">
        <f aca="false">IF($A270&gt;PARAMETROS!$C$33,"",IF(P270&lt;=0,"AGOTADO","OK"))</f>
        <v>AGOTADO</v>
      </c>
    </row>
    <row r="271" customFormat="false" ht="15" hidden="false" customHeight="false" outlineLevel="0" collapsed="false">
      <c r="A271" s="15" t="n">
        <f aca="false">A270+1</f>
        <v>269</v>
      </c>
      <c r="B271" s="15" t="n">
        <f aca="false">IF($A271="","",ROUNDUP($A271/12,0))</f>
        <v>23</v>
      </c>
      <c r="C271" s="15" t="n">
        <f aca="false">IF($A271="","",PARAMETROS!$C$6+INT(($A271-1)/12))</f>
        <v>87</v>
      </c>
      <c r="D271" s="15" t="n">
        <f aca="false">IF($A271="","",MOD($A271-1,12)+1)</f>
        <v>5</v>
      </c>
      <c r="E271" s="16" t="n">
        <f aca="false">IF($A271&gt;PARAMETROS!$C$33,"",P270)</f>
        <v>0</v>
      </c>
      <c r="F271" s="17" t="n">
        <f aca="false">IF($A271&gt;PARAMETROS!$C$33,"",PARAMETROS!$C$38)</f>
        <v>0.00495440818448101</v>
      </c>
      <c r="G271" s="16" t="n">
        <f aca="false">IF($A271&gt;PARAMETROS!$C$33,"",E271*F271)</f>
        <v>0</v>
      </c>
      <c r="H271" s="16" t="n">
        <f aca="false">IF($A271&gt;PARAMETROS!$C$33,"",E271*PARAMETROS!$C$39)</f>
        <v>0</v>
      </c>
      <c r="I271" s="16" t="n">
        <f aca="false">IF($A271&gt;PARAMETROS!$C$33,"",G271-H271)</f>
        <v>0</v>
      </c>
      <c r="J271" s="16" t="n">
        <f aca="false">IF($A271&gt;PARAMETROS!$C$33,"",PARAMETROS!$C$9*(1+PARAMETROS!$C$17)^(B271-1))</f>
        <v>70200.6170367658</v>
      </c>
      <c r="K271" s="16" t="n">
        <f aca="false">IF($A271&gt;PARAMETROS!$C$33,"",K270*(1+PARAMETROS!$C$36))</f>
        <v>64025.7706610109</v>
      </c>
      <c r="L271" s="16" t="n">
        <f aca="false">IF($A271&gt;PARAMETROS!$C$33,"",L270*(1+PARAMETROS!$C$37)*(1+M271))</f>
        <v>28261.4630085004</v>
      </c>
      <c r="M271" s="17" t="n">
        <f aca="false">IF($A271&gt;PARAMETROS!$C$33,"",IF(C271&lt;70,PARAMETROS!$C$40,IF(C271&lt;75,PARAMETROS!$C$41,IF(C271&lt;80,PARAMETROS!$C$42,IF(C271&lt;85,PARAMETROS!$C$43,IF(C271&lt;90,PARAMETROS!$C$44,PARAMETROS!$C$45))))))</f>
        <v>0.00041571484472902</v>
      </c>
      <c r="N271" s="16" t="n">
        <f aca="false">IF($A271&gt;PARAMETROS!$C$33,"",K271+L271)</f>
        <v>92287.2336695113</v>
      </c>
      <c r="O271" s="16" t="n">
        <f aca="false">IF($A271&gt;PARAMETROS!$C$33,"",I271+J271-N271)</f>
        <v>-22086.6166327455</v>
      </c>
      <c r="P271" s="16" t="n">
        <f aca="false">IF($A271&gt;PARAMETROS!$C$33,"",MAX(E271+I271+J271-N271,0))</f>
        <v>0</v>
      </c>
      <c r="Q271" s="18" t="str">
        <f aca="false">IF($A271&gt;PARAMETROS!$C$33,"",IF(P271&lt;=0,"AGOTADO","OK"))</f>
        <v>AGOTADO</v>
      </c>
    </row>
    <row r="272" customFormat="false" ht="15" hidden="false" customHeight="false" outlineLevel="0" collapsed="false">
      <c r="A272" s="15" t="n">
        <f aca="false">A271+1</f>
        <v>270</v>
      </c>
      <c r="B272" s="15" t="n">
        <f aca="false">IF($A272="","",ROUNDUP($A272/12,0))</f>
        <v>23</v>
      </c>
      <c r="C272" s="15" t="n">
        <f aca="false">IF($A272="","",PARAMETROS!$C$6+INT(($A272-1)/12))</f>
        <v>87</v>
      </c>
      <c r="D272" s="15" t="n">
        <f aca="false">IF($A272="","",MOD($A272-1,12)+1)</f>
        <v>6</v>
      </c>
      <c r="E272" s="16" t="n">
        <f aca="false">IF($A272&gt;PARAMETROS!$C$33,"",P271)</f>
        <v>0</v>
      </c>
      <c r="F272" s="17" t="n">
        <f aca="false">IF($A272&gt;PARAMETROS!$C$33,"",PARAMETROS!$C$38)</f>
        <v>0.00495440818448101</v>
      </c>
      <c r="G272" s="16" t="n">
        <f aca="false">IF($A272&gt;PARAMETROS!$C$33,"",E272*F272)</f>
        <v>0</v>
      </c>
      <c r="H272" s="16" t="n">
        <f aca="false">IF($A272&gt;PARAMETROS!$C$33,"",E272*PARAMETROS!$C$39)</f>
        <v>0</v>
      </c>
      <c r="I272" s="16" t="n">
        <f aca="false">IF($A272&gt;PARAMETROS!$C$33,"",G272-H272)</f>
        <v>0</v>
      </c>
      <c r="J272" s="16" t="n">
        <f aca="false">IF($A272&gt;PARAMETROS!$C$33,"",PARAMETROS!$C$9*(1+PARAMETROS!$C$17)^(B272-1))</f>
        <v>70200.6170367658</v>
      </c>
      <c r="K272" s="16" t="n">
        <f aca="false">IF($A272&gt;PARAMETROS!$C$33,"",K271*(1+PARAMETROS!$C$36))</f>
        <v>64245.1456183377</v>
      </c>
      <c r="L272" s="16" t="n">
        <f aca="false">IF($A272&gt;PARAMETROS!$C$33,"",L271*(1+PARAMETROS!$C$37)*(1+M272))</f>
        <v>28384.7928861366</v>
      </c>
      <c r="M272" s="17" t="n">
        <f aca="false">IF($A272&gt;PARAMETROS!$C$33,"",IF(C272&lt;70,PARAMETROS!$C$40,IF(C272&lt;75,PARAMETROS!$C$41,IF(C272&lt;80,PARAMETROS!$C$42,IF(C272&lt;85,PARAMETROS!$C$43,IF(C272&lt;90,PARAMETROS!$C$44,PARAMETROS!$C$45))))))</f>
        <v>0.00041571484472902</v>
      </c>
      <c r="N272" s="16" t="n">
        <f aca="false">IF($A272&gt;PARAMETROS!$C$33,"",K272+L272)</f>
        <v>92629.9385044743</v>
      </c>
      <c r="O272" s="16" t="n">
        <f aca="false">IF($A272&gt;PARAMETROS!$C$33,"",I272+J272-N272)</f>
        <v>-22429.3214677085</v>
      </c>
      <c r="P272" s="16" t="n">
        <f aca="false">IF($A272&gt;PARAMETROS!$C$33,"",MAX(E272+I272+J272-N272,0))</f>
        <v>0</v>
      </c>
      <c r="Q272" s="18" t="str">
        <f aca="false">IF($A272&gt;PARAMETROS!$C$33,"",IF(P272&lt;=0,"AGOTADO","OK"))</f>
        <v>AGOTADO</v>
      </c>
    </row>
    <row r="273" customFormat="false" ht="15" hidden="false" customHeight="false" outlineLevel="0" collapsed="false">
      <c r="A273" s="15" t="n">
        <f aca="false">A272+1</f>
        <v>271</v>
      </c>
      <c r="B273" s="15" t="n">
        <f aca="false">IF($A273="","",ROUNDUP($A273/12,0))</f>
        <v>23</v>
      </c>
      <c r="C273" s="15" t="n">
        <f aca="false">IF($A273="","",PARAMETROS!$C$6+INT(($A273-1)/12))</f>
        <v>87</v>
      </c>
      <c r="D273" s="15" t="n">
        <f aca="false">IF($A273="","",MOD($A273-1,12)+1)</f>
        <v>7</v>
      </c>
      <c r="E273" s="16" t="n">
        <f aca="false">IF($A273&gt;PARAMETROS!$C$33,"",P272)</f>
        <v>0</v>
      </c>
      <c r="F273" s="17" t="n">
        <f aca="false">IF($A273&gt;PARAMETROS!$C$33,"",PARAMETROS!$C$38)</f>
        <v>0.00495440818448101</v>
      </c>
      <c r="G273" s="16" t="n">
        <f aca="false">IF($A273&gt;PARAMETROS!$C$33,"",E273*F273)</f>
        <v>0</v>
      </c>
      <c r="H273" s="16" t="n">
        <f aca="false">IF($A273&gt;PARAMETROS!$C$33,"",E273*PARAMETROS!$C$39)</f>
        <v>0</v>
      </c>
      <c r="I273" s="16" t="n">
        <f aca="false">IF($A273&gt;PARAMETROS!$C$33,"",G273-H273)</f>
        <v>0</v>
      </c>
      <c r="J273" s="16" t="n">
        <f aca="false">IF($A273&gt;PARAMETROS!$C$33,"",PARAMETROS!$C$9*(1+PARAMETROS!$C$17)^(B273-1))</f>
        <v>70200.6170367658</v>
      </c>
      <c r="K273" s="16" t="n">
        <f aca="false">IF($A273&gt;PARAMETROS!$C$33,"",K272*(1+PARAMETROS!$C$36))</f>
        <v>64465.2722319336</v>
      </c>
      <c r="L273" s="16" t="n">
        <f aca="false">IF($A273&gt;PARAMETROS!$C$33,"",L272*(1+PARAMETROS!$C$37)*(1+M273))</f>
        <v>28508.6609616259</v>
      </c>
      <c r="M273" s="17" t="n">
        <f aca="false">IF($A273&gt;PARAMETROS!$C$33,"",IF(C273&lt;70,PARAMETROS!$C$40,IF(C273&lt;75,PARAMETROS!$C$41,IF(C273&lt;80,PARAMETROS!$C$42,IF(C273&lt;85,PARAMETROS!$C$43,IF(C273&lt;90,PARAMETROS!$C$44,PARAMETROS!$C$45))))))</f>
        <v>0.00041571484472902</v>
      </c>
      <c r="N273" s="16" t="n">
        <f aca="false">IF($A273&gt;PARAMETROS!$C$33,"",K273+L273)</f>
        <v>92973.9331935595</v>
      </c>
      <c r="O273" s="16" t="n">
        <f aca="false">IF($A273&gt;PARAMETROS!$C$33,"",I273+J273-N273)</f>
        <v>-22773.3161567937</v>
      </c>
      <c r="P273" s="16" t="n">
        <f aca="false">IF($A273&gt;PARAMETROS!$C$33,"",MAX(E273+I273+J273-N273,0))</f>
        <v>0</v>
      </c>
      <c r="Q273" s="18" t="str">
        <f aca="false">IF($A273&gt;PARAMETROS!$C$33,"",IF(P273&lt;=0,"AGOTADO","OK"))</f>
        <v>AGOTADO</v>
      </c>
    </row>
    <row r="274" customFormat="false" ht="15" hidden="false" customHeight="false" outlineLevel="0" collapsed="false">
      <c r="A274" s="15" t="n">
        <f aca="false">A273+1</f>
        <v>272</v>
      </c>
      <c r="B274" s="15" t="n">
        <f aca="false">IF($A274="","",ROUNDUP($A274/12,0))</f>
        <v>23</v>
      </c>
      <c r="C274" s="15" t="n">
        <f aca="false">IF($A274="","",PARAMETROS!$C$6+INT(($A274-1)/12))</f>
        <v>87</v>
      </c>
      <c r="D274" s="15" t="n">
        <f aca="false">IF($A274="","",MOD($A274-1,12)+1)</f>
        <v>8</v>
      </c>
      <c r="E274" s="16" t="n">
        <f aca="false">IF($A274&gt;PARAMETROS!$C$33,"",P273)</f>
        <v>0</v>
      </c>
      <c r="F274" s="17" t="n">
        <f aca="false">IF($A274&gt;PARAMETROS!$C$33,"",PARAMETROS!$C$38)</f>
        <v>0.00495440818448101</v>
      </c>
      <c r="G274" s="16" t="n">
        <f aca="false">IF($A274&gt;PARAMETROS!$C$33,"",E274*F274)</f>
        <v>0</v>
      </c>
      <c r="H274" s="16" t="n">
        <f aca="false">IF($A274&gt;PARAMETROS!$C$33,"",E274*PARAMETROS!$C$39)</f>
        <v>0</v>
      </c>
      <c r="I274" s="16" t="n">
        <f aca="false">IF($A274&gt;PARAMETROS!$C$33,"",G274-H274)</f>
        <v>0</v>
      </c>
      <c r="J274" s="16" t="n">
        <f aca="false">IF($A274&gt;PARAMETROS!$C$33,"",PARAMETROS!$C$9*(1+PARAMETROS!$C$17)^(B274-1))</f>
        <v>70200.6170367658</v>
      </c>
      <c r="K274" s="16" t="n">
        <f aca="false">IF($A274&gt;PARAMETROS!$C$33,"",K273*(1+PARAMETROS!$C$36))</f>
        <v>64686.1530772391</v>
      </c>
      <c r="L274" s="16" t="n">
        <f aca="false">IF($A274&gt;PARAMETROS!$C$33,"",L273*(1+PARAMETROS!$C$37)*(1+M274))</f>
        <v>28633.0695836039</v>
      </c>
      <c r="M274" s="17" t="n">
        <f aca="false">IF($A274&gt;PARAMETROS!$C$33,"",IF(C274&lt;70,PARAMETROS!$C$40,IF(C274&lt;75,PARAMETROS!$C$41,IF(C274&lt;80,PARAMETROS!$C$42,IF(C274&lt;85,PARAMETROS!$C$43,IF(C274&lt;90,PARAMETROS!$C$44,PARAMETROS!$C$45))))))</f>
        <v>0.00041571484472902</v>
      </c>
      <c r="N274" s="16" t="n">
        <f aca="false">IF($A274&gt;PARAMETROS!$C$33,"",K274+L274)</f>
        <v>93319.222660843</v>
      </c>
      <c r="O274" s="16" t="n">
        <f aca="false">IF($A274&gt;PARAMETROS!$C$33,"",I274+J274-N274)</f>
        <v>-23118.6056240772</v>
      </c>
      <c r="P274" s="16" t="n">
        <f aca="false">IF($A274&gt;PARAMETROS!$C$33,"",MAX(E274+I274+J274-N274,0))</f>
        <v>0</v>
      </c>
      <c r="Q274" s="18" t="str">
        <f aca="false">IF($A274&gt;PARAMETROS!$C$33,"",IF(P274&lt;=0,"AGOTADO","OK"))</f>
        <v>AGOTADO</v>
      </c>
    </row>
    <row r="275" customFormat="false" ht="15" hidden="false" customHeight="false" outlineLevel="0" collapsed="false">
      <c r="A275" s="15" t="n">
        <f aca="false">A274+1</f>
        <v>273</v>
      </c>
      <c r="B275" s="15" t="n">
        <f aca="false">IF($A275="","",ROUNDUP($A275/12,0))</f>
        <v>23</v>
      </c>
      <c r="C275" s="15" t="n">
        <f aca="false">IF($A275="","",PARAMETROS!$C$6+INT(($A275-1)/12))</f>
        <v>87</v>
      </c>
      <c r="D275" s="15" t="n">
        <f aca="false">IF($A275="","",MOD($A275-1,12)+1)</f>
        <v>9</v>
      </c>
      <c r="E275" s="16" t="n">
        <f aca="false">IF($A275&gt;PARAMETROS!$C$33,"",P274)</f>
        <v>0</v>
      </c>
      <c r="F275" s="17" t="n">
        <f aca="false">IF($A275&gt;PARAMETROS!$C$33,"",PARAMETROS!$C$38)</f>
        <v>0.00495440818448101</v>
      </c>
      <c r="G275" s="16" t="n">
        <f aca="false">IF($A275&gt;PARAMETROS!$C$33,"",E275*F275)</f>
        <v>0</v>
      </c>
      <c r="H275" s="16" t="n">
        <f aca="false">IF($A275&gt;PARAMETROS!$C$33,"",E275*PARAMETROS!$C$39)</f>
        <v>0</v>
      </c>
      <c r="I275" s="16" t="n">
        <f aca="false">IF($A275&gt;PARAMETROS!$C$33,"",G275-H275)</f>
        <v>0</v>
      </c>
      <c r="J275" s="16" t="n">
        <f aca="false">IF($A275&gt;PARAMETROS!$C$33,"",PARAMETROS!$C$9*(1+PARAMETROS!$C$17)^(B275-1))</f>
        <v>70200.6170367658</v>
      </c>
      <c r="K275" s="16" t="n">
        <f aca="false">IF($A275&gt;PARAMETROS!$C$33,"",K274*(1+PARAMETROS!$C$36))</f>
        <v>64907.7907385191</v>
      </c>
      <c r="L275" s="16" t="n">
        <f aca="false">IF($A275&gt;PARAMETROS!$C$33,"",L274*(1+PARAMETROS!$C$37)*(1+M275))</f>
        <v>28758.0211109552</v>
      </c>
      <c r="M275" s="17" t="n">
        <f aca="false">IF($A275&gt;PARAMETROS!$C$33,"",IF(C275&lt;70,PARAMETROS!$C$40,IF(C275&lt;75,PARAMETROS!$C$41,IF(C275&lt;80,PARAMETROS!$C$42,IF(C275&lt;85,PARAMETROS!$C$43,IF(C275&lt;90,PARAMETROS!$C$44,PARAMETROS!$C$45))))))</f>
        <v>0.00041571484472902</v>
      </c>
      <c r="N275" s="16" t="n">
        <f aca="false">IF($A275&gt;PARAMETROS!$C$33,"",K275+L275)</f>
        <v>93665.8118494743</v>
      </c>
      <c r="O275" s="16" t="n">
        <f aca="false">IF($A275&gt;PARAMETROS!$C$33,"",I275+J275-N275)</f>
        <v>-23465.1948127084</v>
      </c>
      <c r="P275" s="16" t="n">
        <f aca="false">IF($A275&gt;PARAMETROS!$C$33,"",MAX(E275+I275+J275-N275,0))</f>
        <v>0</v>
      </c>
      <c r="Q275" s="18" t="str">
        <f aca="false">IF($A275&gt;PARAMETROS!$C$33,"",IF(P275&lt;=0,"AGOTADO","OK"))</f>
        <v>AGOTADO</v>
      </c>
    </row>
    <row r="276" customFormat="false" ht="15" hidden="false" customHeight="false" outlineLevel="0" collapsed="false">
      <c r="A276" s="15" t="n">
        <f aca="false">A275+1</f>
        <v>274</v>
      </c>
      <c r="B276" s="15" t="n">
        <f aca="false">IF($A276="","",ROUNDUP($A276/12,0))</f>
        <v>23</v>
      </c>
      <c r="C276" s="15" t="n">
        <f aca="false">IF($A276="","",PARAMETROS!$C$6+INT(($A276-1)/12))</f>
        <v>87</v>
      </c>
      <c r="D276" s="15" t="n">
        <f aca="false">IF($A276="","",MOD($A276-1,12)+1)</f>
        <v>10</v>
      </c>
      <c r="E276" s="16" t="n">
        <f aca="false">IF($A276&gt;PARAMETROS!$C$33,"",P275)</f>
        <v>0</v>
      </c>
      <c r="F276" s="17" t="n">
        <f aca="false">IF($A276&gt;PARAMETROS!$C$33,"",PARAMETROS!$C$38)</f>
        <v>0.00495440818448101</v>
      </c>
      <c r="G276" s="16" t="n">
        <f aca="false">IF($A276&gt;PARAMETROS!$C$33,"",E276*F276)</f>
        <v>0</v>
      </c>
      <c r="H276" s="16" t="n">
        <f aca="false">IF($A276&gt;PARAMETROS!$C$33,"",E276*PARAMETROS!$C$39)</f>
        <v>0</v>
      </c>
      <c r="I276" s="16" t="n">
        <f aca="false">IF($A276&gt;PARAMETROS!$C$33,"",G276-H276)</f>
        <v>0</v>
      </c>
      <c r="J276" s="16" t="n">
        <f aca="false">IF($A276&gt;PARAMETROS!$C$33,"",PARAMETROS!$C$9*(1+PARAMETROS!$C$17)^(B276-1))</f>
        <v>70200.6170367658</v>
      </c>
      <c r="K276" s="16" t="n">
        <f aca="false">IF($A276&gt;PARAMETROS!$C$33,"",K275*(1+PARAMETROS!$C$36))</f>
        <v>65130.187808893</v>
      </c>
      <c r="L276" s="16" t="n">
        <f aca="false">IF($A276&gt;PARAMETROS!$C$33,"",L275*(1+PARAMETROS!$C$37)*(1+M276))</f>
        <v>28883.5179128584</v>
      </c>
      <c r="M276" s="17" t="n">
        <f aca="false">IF($A276&gt;PARAMETROS!$C$33,"",IF(C276&lt;70,PARAMETROS!$C$40,IF(C276&lt;75,PARAMETROS!$C$41,IF(C276&lt;80,PARAMETROS!$C$42,IF(C276&lt;85,PARAMETROS!$C$43,IF(C276&lt;90,PARAMETROS!$C$44,PARAMETROS!$C$45))))))</f>
        <v>0.00041571484472902</v>
      </c>
      <c r="N276" s="16" t="n">
        <f aca="false">IF($A276&gt;PARAMETROS!$C$33,"",K276+L276)</f>
        <v>94013.7057217514</v>
      </c>
      <c r="O276" s="16" t="n">
        <f aca="false">IF($A276&gt;PARAMETROS!$C$33,"",I276+J276-N276)</f>
        <v>-23813.0886849855</v>
      </c>
      <c r="P276" s="16" t="n">
        <f aca="false">IF($A276&gt;PARAMETROS!$C$33,"",MAX(E276+I276+J276-N276,0))</f>
        <v>0</v>
      </c>
      <c r="Q276" s="18" t="str">
        <f aca="false">IF($A276&gt;PARAMETROS!$C$33,"",IF(P276&lt;=0,"AGOTADO","OK"))</f>
        <v>AGOTADO</v>
      </c>
    </row>
    <row r="277" customFormat="false" ht="15" hidden="false" customHeight="false" outlineLevel="0" collapsed="false">
      <c r="A277" s="15" t="n">
        <f aca="false">A276+1</f>
        <v>275</v>
      </c>
      <c r="B277" s="15" t="n">
        <f aca="false">IF($A277="","",ROUNDUP($A277/12,0))</f>
        <v>23</v>
      </c>
      <c r="C277" s="15" t="n">
        <f aca="false">IF($A277="","",PARAMETROS!$C$6+INT(($A277-1)/12))</f>
        <v>87</v>
      </c>
      <c r="D277" s="15" t="n">
        <f aca="false">IF($A277="","",MOD($A277-1,12)+1)</f>
        <v>11</v>
      </c>
      <c r="E277" s="16" t="n">
        <f aca="false">IF($A277&gt;PARAMETROS!$C$33,"",P276)</f>
        <v>0</v>
      </c>
      <c r="F277" s="17" t="n">
        <f aca="false">IF($A277&gt;PARAMETROS!$C$33,"",PARAMETROS!$C$38)</f>
        <v>0.00495440818448101</v>
      </c>
      <c r="G277" s="16" t="n">
        <f aca="false">IF($A277&gt;PARAMETROS!$C$33,"",E277*F277)</f>
        <v>0</v>
      </c>
      <c r="H277" s="16" t="n">
        <f aca="false">IF($A277&gt;PARAMETROS!$C$33,"",E277*PARAMETROS!$C$39)</f>
        <v>0</v>
      </c>
      <c r="I277" s="16" t="n">
        <f aca="false">IF($A277&gt;PARAMETROS!$C$33,"",G277-H277)</f>
        <v>0</v>
      </c>
      <c r="J277" s="16" t="n">
        <f aca="false">IF($A277&gt;PARAMETROS!$C$33,"",PARAMETROS!$C$9*(1+PARAMETROS!$C$17)^(B277-1))</f>
        <v>70200.6170367658</v>
      </c>
      <c r="K277" s="16" t="n">
        <f aca="false">IF($A277&gt;PARAMETROS!$C$33,"",K276*(1+PARAMETROS!$C$36))</f>
        <v>65353.3468903652</v>
      </c>
      <c r="L277" s="16" t="n">
        <f aca="false">IF($A277&gt;PARAMETROS!$C$33,"",L276*(1+PARAMETROS!$C$37)*(1+M277))</f>
        <v>29009.5623688309</v>
      </c>
      <c r="M277" s="17" t="n">
        <f aca="false">IF($A277&gt;PARAMETROS!$C$33,"",IF(C277&lt;70,PARAMETROS!$C$40,IF(C277&lt;75,PARAMETROS!$C$41,IF(C277&lt;80,PARAMETROS!$C$42,IF(C277&lt;85,PARAMETROS!$C$43,IF(C277&lt;90,PARAMETROS!$C$44,PARAMETROS!$C$45))))))</f>
        <v>0.00041571484472902</v>
      </c>
      <c r="N277" s="16" t="n">
        <f aca="false">IF($A277&gt;PARAMETROS!$C$33,"",K277+L277)</f>
        <v>94362.9092591962</v>
      </c>
      <c r="O277" s="16" t="n">
        <f aca="false">IF($A277&gt;PARAMETROS!$C$33,"",I277+J277-N277)</f>
        <v>-24162.2922224303</v>
      </c>
      <c r="P277" s="16" t="n">
        <f aca="false">IF($A277&gt;PARAMETROS!$C$33,"",MAX(E277+I277+J277-N277,0))</f>
        <v>0</v>
      </c>
      <c r="Q277" s="18" t="str">
        <f aca="false">IF($A277&gt;PARAMETROS!$C$33,"",IF(P277&lt;=0,"AGOTADO","OK"))</f>
        <v>AGOTADO</v>
      </c>
    </row>
    <row r="278" customFormat="false" ht="15" hidden="false" customHeight="false" outlineLevel="0" collapsed="false">
      <c r="A278" s="15" t="n">
        <f aca="false">A277+1</f>
        <v>276</v>
      </c>
      <c r="B278" s="15" t="n">
        <f aca="false">IF($A278="","",ROUNDUP($A278/12,0))</f>
        <v>23</v>
      </c>
      <c r="C278" s="15" t="n">
        <f aca="false">IF($A278="","",PARAMETROS!$C$6+INT(($A278-1)/12))</f>
        <v>87</v>
      </c>
      <c r="D278" s="15" t="n">
        <f aca="false">IF($A278="","",MOD($A278-1,12)+1)</f>
        <v>12</v>
      </c>
      <c r="E278" s="16" t="n">
        <f aca="false">IF($A278&gt;PARAMETROS!$C$33,"",P277)</f>
        <v>0</v>
      </c>
      <c r="F278" s="17" t="n">
        <f aca="false">IF($A278&gt;PARAMETROS!$C$33,"",PARAMETROS!$C$38)</f>
        <v>0.00495440818448101</v>
      </c>
      <c r="G278" s="16" t="n">
        <f aca="false">IF($A278&gt;PARAMETROS!$C$33,"",E278*F278)</f>
        <v>0</v>
      </c>
      <c r="H278" s="16" t="n">
        <f aca="false">IF($A278&gt;PARAMETROS!$C$33,"",E278*PARAMETROS!$C$39)</f>
        <v>0</v>
      </c>
      <c r="I278" s="16" t="n">
        <f aca="false">IF($A278&gt;PARAMETROS!$C$33,"",G278-H278)</f>
        <v>0</v>
      </c>
      <c r="J278" s="16" t="n">
        <f aca="false">IF($A278&gt;PARAMETROS!$C$33,"",PARAMETROS!$C$9*(1+PARAMETROS!$C$17)^(B278-1))</f>
        <v>70200.6170367658</v>
      </c>
      <c r="K278" s="16" t="n">
        <f aca="false">IF($A278&gt;PARAMETROS!$C$33,"",K277*(1+PARAMETROS!$C$36))</f>
        <v>65577.2705938556</v>
      </c>
      <c r="L278" s="16" t="n">
        <f aca="false">IF($A278&gt;PARAMETROS!$C$33,"",L277*(1+PARAMETROS!$C$37)*(1+M278))</f>
        <v>29136.1568687742</v>
      </c>
      <c r="M278" s="17" t="n">
        <f aca="false">IF($A278&gt;PARAMETROS!$C$33,"",IF(C278&lt;70,PARAMETROS!$C$40,IF(C278&lt;75,PARAMETROS!$C$41,IF(C278&lt;80,PARAMETROS!$C$42,IF(C278&lt;85,PARAMETROS!$C$43,IF(C278&lt;90,PARAMETROS!$C$44,PARAMETROS!$C$45))))))</f>
        <v>0.00041571484472902</v>
      </c>
      <c r="N278" s="16" t="n">
        <f aca="false">IF($A278&gt;PARAMETROS!$C$33,"",K278+L278)</f>
        <v>94713.4274626298</v>
      </c>
      <c r="O278" s="16" t="n">
        <f aca="false">IF($A278&gt;PARAMETROS!$C$33,"",I278+J278-N278)</f>
        <v>-24512.810425864</v>
      </c>
      <c r="P278" s="16" t="n">
        <f aca="false">IF($A278&gt;PARAMETROS!$C$33,"",MAX(E278+I278+J278-N278,0))</f>
        <v>0</v>
      </c>
      <c r="Q278" s="18" t="str">
        <f aca="false">IF($A278&gt;PARAMETROS!$C$33,"",IF(P278&lt;=0,"AGOTADO","OK"))</f>
        <v>AGOTADO</v>
      </c>
    </row>
    <row r="279" customFormat="false" ht="15" hidden="false" customHeight="false" outlineLevel="0" collapsed="false">
      <c r="A279" s="19" t="n">
        <f aca="false">A278+1</f>
        <v>277</v>
      </c>
      <c r="B279" s="19" t="n">
        <f aca="false">IF($A279="","",ROUNDUP($A279/12,0))</f>
        <v>24</v>
      </c>
      <c r="C279" s="19" t="n">
        <f aca="false">IF($A279="","",PARAMETROS!$C$6+INT(($A279-1)/12))</f>
        <v>88</v>
      </c>
      <c r="D279" s="19" t="n">
        <f aca="false">IF($A279="","",MOD($A279-1,12)+1)</f>
        <v>1</v>
      </c>
      <c r="E279" s="20" t="n">
        <f aca="false">IF($A279&gt;PARAMETROS!$C$33,"",P278)</f>
        <v>0</v>
      </c>
      <c r="F279" s="21" t="n">
        <f aca="false">IF($A279&gt;PARAMETROS!$C$33,"",PARAMETROS!$C$38)</f>
        <v>0.00495440818448101</v>
      </c>
      <c r="G279" s="20" t="n">
        <f aca="false">IF($A279&gt;PARAMETROS!$C$33,"",E279*F279)</f>
        <v>0</v>
      </c>
      <c r="H279" s="20" t="n">
        <f aca="false">IF($A279&gt;PARAMETROS!$C$33,"",E279*PARAMETROS!$C$39)</f>
        <v>0</v>
      </c>
      <c r="I279" s="20" t="n">
        <f aca="false">IF($A279&gt;PARAMETROS!$C$33,"",G279-H279)</f>
        <v>0</v>
      </c>
      <c r="J279" s="20" t="n">
        <f aca="false">IF($A279&gt;PARAMETROS!$C$33,"",PARAMETROS!$C$9*(1+PARAMETROS!$C$17)^(B279-1))</f>
        <v>72966.5213480144</v>
      </c>
      <c r="K279" s="20" t="n">
        <f aca="false">IF($A279&gt;PARAMETROS!$C$33,"",K278*(1+PARAMETROS!$C$36))</f>
        <v>65801.9615392298</v>
      </c>
      <c r="L279" s="20" t="n">
        <f aca="false">IF($A279&gt;PARAMETROS!$C$33,"",L278*(1+PARAMETROS!$C$37)*(1+M279))</f>
        <v>29263.3038130188</v>
      </c>
      <c r="M279" s="21" t="n">
        <f aca="false">IF($A279&gt;PARAMETROS!$C$33,"",IF(C279&lt;70,PARAMETROS!$C$40,IF(C279&lt;75,PARAMETROS!$C$41,IF(C279&lt;80,PARAMETROS!$C$42,IF(C279&lt;85,PARAMETROS!$C$43,IF(C279&lt;90,PARAMETROS!$C$44,PARAMETROS!$C$45))))))</f>
        <v>0.00041571484472902</v>
      </c>
      <c r="N279" s="20" t="n">
        <f aca="false">IF($A279&gt;PARAMETROS!$C$33,"",K279+L279)</f>
        <v>95065.2653522487</v>
      </c>
      <c r="O279" s="20" t="n">
        <f aca="false">IF($A279&gt;PARAMETROS!$C$33,"",I279+J279-N279)</f>
        <v>-22098.7440042343</v>
      </c>
      <c r="P279" s="20" t="n">
        <f aca="false">IF($A279&gt;PARAMETROS!$C$33,"",MAX(E279+I279+J279-N279,0))</f>
        <v>0</v>
      </c>
      <c r="Q279" s="22" t="str">
        <f aca="false">IF($A279&gt;PARAMETROS!$C$33,"",IF(P279&lt;=0,"AGOTADO","OK"))</f>
        <v>AGOTADO</v>
      </c>
    </row>
    <row r="280" customFormat="false" ht="15" hidden="false" customHeight="false" outlineLevel="0" collapsed="false">
      <c r="A280" s="19" t="n">
        <f aca="false">A279+1</f>
        <v>278</v>
      </c>
      <c r="B280" s="19" t="n">
        <f aca="false">IF($A280="","",ROUNDUP($A280/12,0))</f>
        <v>24</v>
      </c>
      <c r="C280" s="19" t="n">
        <f aca="false">IF($A280="","",PARAMETROS!$C$6+INT(($A280-1)/12))</f>
        <v>88</v>
      </c>
      <c r="D280" s="19" t="n">
        <f aca="false">IF($A280="","",MOD($A280-1,12)+1)</f>
        <v>2</v>
      </c>
      <c r="E280" s="20" t="n">
        <f aca="false">IF($A280&gt;PARAMETROS!$C$33,"",P279)</f>
        <v>0</v>
      </c>
      <c r="F280" s="21" t="n">
        <f aca="false">IF($A280&gt;PARAMETROS!$C$33,"",PARAMETROS!$C$38)</f>
        <v>0.00495440818448101</v>
      </c>
      <c r="G280" s="20" t="n">
        <f aca="false">IF($A280&gt;PARAMETROS!$C$33,"",E280*F280)</f>
        <v>0</v>
      </c>
      <c r="H280" s="20" t="n">
        <f aca="false">IF($A280&gt;PARAMETROS!$C$33,"",E280*PARAMETROS!$C$39)</f>
        <v>0</v>
      </c>
      <c r="I280" s="20" t="n">
        <f aca="false">IF($A280&gt;PARAMETROS!$C$33,"",G280-H280)</f>
        <v>0</v>
      </c>
      <c r="J280" s="20" t="n">
        <f aca="false">IF($A280&gt;PARAMETROS!$C$33,"",PARAMETROS!$C$9*(1+PARAMETROS!$C$17)^(B280-1))</f>
        <v>72966.5213480144</v>
      </c>
      <c r="K280" s="20" t="n">
        <f aca="false">IF($A280&gt;PARAMETROS!$C$33,"",K279*(1+PARAMETROS!$C$36))</f>
        <v>66027.4223553302</v>
      </c>
      <c r="L280" s="20" t="n">
        <f aca="false">IF($A280&gt;PARAMETROS!$C$33,"",L279*(1+PARAMETROS!$C$37)*(1+M280))</f>
        <v>29391.0056123703</v>
      </c>
      <c r="M280" s="21" t="n">
        <f aca="false">IF($A280&gt;PARAMETROS!$C$33,"",IF(C280&lt;70,PARAMETROS!$C$40,IF(C280&lt;75,PARAMETROS!$C$41,IF(C280&lt;80,PARAMETROS!$C$42,IF(C280&lt;85,PARAMETROS!$C$43,IF(C280&lt;90,PARAMETROS!$C$44,PARAMETROS!$C$45))))))</f>
        <v>0.00041571484472902</v>
      </c>
      <c r="N280" s="20" t="n">
        <f aca="false">IF($A280&gt;PARAMETROS!$C$33,"",K280+L280)</f>
        <v>95418.4279677005</v>
      </c>
      <c r="O280" s="20" t="n">
        <f aca="false">IF($A280&gt;PARAMETROS!$C$33,"",I280+J280-N280)</f>
        <v>-22451.9066196861</v>
      </c>
      <c r="P280" s="20" t="n">
        <f aca="false">IF($A280&gt;PARAMETROS!$C$33,"",MAX(E280+I280+J280-N280,0))</f>
        <v>0</v>
      </c>
      <c r="Q280" s="22" t="str">
        <f aca="false">IF($A280&gt;PARAMETROS!$C$33,"",IF(P280&lt;=0,"AGOTADO","OK"))</f>
        <v>AGOTADO</v>
      </c>
    </row>
    <row r="281" customFormat="false" ht="15" hidden="false" customHeight="false" outlineLevel="0" collapsed="false">
      <c r="A281" s="19" t="n">
        <f aca="false">A280+1</f>
        <v>279</v>
      </c>
      <c r="B281" s="19" t="n">
        <f aca="false">IF($A281="","",ROUNDUP($A281/12,0))</f>
        <v>24</v>
      </c>
      <c r="C281" s="19" t="n">
        <f aca="false">IF($A281="","",PARAMETROS!$C$6+INT(($A281-1)/12))</f>
        <v>88</v>
      </c>
      <c r="D281" s="19" t="n">
        <f aca="false">IF($A281="","",MOD($A281-1,12)+1)</f>
        <v>3</v>
      </c>
      <c r="E281" s="20" t="n">
        <f aca="false">IF($A281&gt;PARAMETROS!$C$33,"",P280)</f>
        <v>0</v>
      </c>
      <c r="F281" s="21" t="n">
        <f aca="false">IF($A281&gt;PARAMETROS!$C$33,"",PARAMETROS!$C$38)</f>
        <v>0.00495440818448101</v>
      </c>
      <c r="G281" s="20" t="n">
        <f aca="false">IF($A281&gt;PARAMETROS!$C$33,"",E281*F281)</f>
        <v>0</v>
      </c>
      <c r="H281" s="20" t="n">
        <f aca="false">IF($A281&gt;PARAMETROS!$C$33,"",E281*PARAMETROS!$C$39)</f>
        <v>0</v>
      </c>
      <c r="I281" s="20" t="n">
        <f aca="false">IF($A281&gt;PARAMETROS!$C$33,"",G281-H281)</f>
        <v>0</v>
      </c>
      <c r="J281" s="20" t="n">
        <f aca="false">IF($A281&gt;PARAMETROS!$C$33,"",PARAMETROS!$C$9*(1+PARAMETROS!$C$17)^(B281-1))</f>
        <v>72966.5213480144</v>
      </c>
      <c r="K281" s="20" t="n">
        <f aca="false">IF($A281&gt;PARAMETROS!$C$33,"",K280*(1+PARAMETROS!$C$36))</f>
        <v>66253.6556800065</v>
      </c>
      <c r="L281" s="20" t="n">
        <f aca="false">IF($A281&gt;PARAMETROS!$C$33,"",L280*(1+PARAMETROS!$C$37)*(1+M281))</f>
        <v>29519.2646881544</v>
      </c>
      <c r="M281" s="21" t="n">
        <f aca="false">IF($A281&gt;PARAMETROS!$C$33,"",IF(C281&lt;70,PARAMETROS!$C$40,IF(C281&lt;75,PARAMETROS!$C$41,IF(C281&lt;80,PARAMETROS!$C$42,IF(C281&lt;85,PARAMETROS!$C$43,IF(C281&lt;90,PARAMETROS!$C$44,PARAMETROS!$C$45))))))</f>
        <v>0.00041571484472902</v>
      </c>
      <c r="N281" s="20" t="n">
        <f aca="false">IF($A281&gt;PARAMETROS!$C$33,"",K281+L281)</f>
        <v>95772.9203681609</v>
      </c>
      <c r="O281" s="20" t="n">
        <f aca="false">IF($A281&gt;PARAMETROS!$C$33,"",I281+J281-N281)</f>
        <v>-22806.3990201465</v>
      </c>
      <c r="P281" s="20" t="n">
        <f aca="false">IF($A281&gt;PARAMETROS!$C$33,"",MAX(E281+I281+J281-N281,0))</f>
        <v>0</v>
      </c>
      <c r="Q281" s="22" t="str">
        <f aca="false">IF($A281&gt;PARAMETROS!$C$33,"",IF(P281&lt;=0,"AGOTADO","OK"))</f>
        <v>AGOTADO</v>
      </c>
    </row>
    <row r="282" customFormat="false" ht="15" hidden="false" customHeight="false" outlineLevel="0" collapsed="false">
      <c r="A282" s="19" t="n">
        <f aca="false">A281+1</f>
        <v>280</v>
      </c>
      <c r="B282" s="19" t="n">
        <f aca="false">IF($A282="","",ROUNDUP($A282/12,0))</f>
        <v>24</v>
      </c>
      <c r="C282" s="19" t="n">
        <f aca="false">IF($A282="","",PARAMETROS!$C$6+INT(($A282-1)/12))</f>
        <v>88</v>
      </c>
      <c r="D282" s="19" t="n">
        <f aca="false">IF($A282="","",MOD($A282-1,12)+1)</f>
        <v>4</v>
      </c>
      <c r="E282" s="20" t="n">
        <f aca="false">IF($A282&gt;PARAMETROS!$C$33,"",P281)</f>
        <v>0</v>
      </c>
      <c r="F282" s="21" t="n">
        <f aca="false">IF($A282&gt;PARAMETROS!$C$33,"",PARAMETROS!$C$38)</f>
        <v>0.00495440818448101</v>
      </c>
      <c r="G282" s="20" t="n">
        <f aca="false">IF($A282&gt;PARAMETROS!$C$33,"",E282*F282)</f>
        <v>0</v>
      </c>
      <c r="H282" s="20" t="n">
        <f aca="false">IF($A282&gt;PARAMETROS!$C$33,"",E282*PARAMETROS!$C$39)</f>
        <v>0</v>
      </c>
      <c r="I282" s="20" t="n">
        <f aca="false">IF($A282&gt;PARAMETROS!$C$33,"",G282-H282)</f>
        <v>0</v>
      </c>
      <c r="J282" s="20" t="n">
        <f aca="false">IF($A282&gt;PARAMETROS!$C$33,"",PARAMETROS!$C$9*(1+PARAMETROS!$C$17)^(B282-1))</f>
        <v>72966.5213480144</v>
      </c>
      <c r="K282" s="20" t="n">
        <f aca="false">IF($A282&gt;PARAMETROS!$C$33,"",K281*(1+PARAMETROS!$C$36))</f>
        <v>66480.6641601465</v>
      </c>
      <c r="L282" s="20" t="n">
        <f aca="false">IF($A282&gt;PARAMETROS!$C$33,"",L281*(1+PARAMETROS!$C$37)*(1+M282))</f>
        <v>29648.0834722635</v>
      </c>
      <c r="M282" s="21" t="n">
        <f aca="false">IF($A282&gt;PARAMETROS!$C$33,"",IF(C282&lt;70,PARAMETROS!$C$40,IF(C282&lt;75,PARAMETROS!$C$41,IF(C282&lt;80,PARAMETROS!$C$42,IF(C282&lt;85,PARAMETROS!$C$43,IF(C282&lt;90,PARAMETROS!$C$44,PARAMETROS!$C$45))))))</f>
        <v>0.00041571484472902</v>
      </c>
      <c r="N282" s="20" t="n">
        <f aca="false">IF($A282&gt;PARAMETROS!$C$33,"",K282+L282)</f>
        <v>96128.74763241</v>
      </c>
      <c r="O282" s="20" t="n">
        <f aca="false">IF($A282&gt;PARAMETROS!$C$33,"",I282+J282-N282)</f>
        <v>-23162.2262843956</v>
      </c>
      <c r="P282" s="20" t="n">
        <f aca="false">IF($A282&gt;PARAMETROS!$C$33,"",MAX(E282+I282+J282-N282,0))</f>
        <v>0</v>
      </c>
      <c r="Q282" s="22" t="str">
        <f aca="false">IF($A282&gt;PARAMETROS!$C$33,"",IF(P282&lt;=0,"AGOTADO","OK"))</f>
        <v>AGOTADO</v>
      </c>
    </row>
    <row r="283" customFormat="false" ht="15" hidden="false" customHeight="false" outlineLevel="0" collapsed="false">
      <c r="A283" s="19" t="n">
        <f aca="false">A282+1</f>
        <v>281</v>
      </c>
      <c r="B283" s="19" t="n">
        <f aca="false">IF($A283="","",ROUNDUP($A283/12,0))</f>
        <v>24</v>
      </c>
      <c r="C283" s="19" t="n">
        <f aca="false">IF($A283="","",PARAMETROS!$C$6+INT(($A283-1)/12))</f>
        <v>88</v>
      </c>
      <c r="D283" s="19" t="n">
        <f aca="false">IF($A283="","",MOD($A283-1,12)+1)</f>
        <v>5</v>
      </c>
      <c r="E283" s="20" t="n">
        <f aca="false">IF($A283&gt;PARAMETROS!$C$33,"",P282)</f>
        <v>0</v>
      </c>
      <c r="F283" s="21" t="n">
        <f aca="false">IF($A283&gt;PARAMETROS!$C$33,"",PARAMETROS!$C$38)</f>
        <v>0.00495440818448101</v>
      </c>
      <c r="G283" s="20" t="n">
        <f aca="false">IF($A283&gt;PARAMETROS!$C$33,"",E283*F283)</f>
        <v>0</v>
      </c>
      <c r="H283" s="20" t="n">
        <f aca="false">IF($A283&gt;PARAMETROS!$C$33,"",E283*PARAMETROS!$C$39)</f>
        <v>0</v>
      </c>
      <c r="I283" s="20" t="n">
        <f aca="false">IF($A283&gt;PARAMETROS!$C$33,"",G283-H283)</f>
        <v>0</v>
      </c>
      <c r="J283" s="20" t="n">
        <f aca="false">IF($A283&gt;PARAMETROS!$C$33,"",PARAMETROS!$C$9*(1+PARAMETROS!$C$17)^(B283-1))</f>
        <v>72966.5213480144</v>
      </c>
      <c r="K283" s="20" t="n">
        <f aca="false">IF($A283&gt;PARAMETROS!$C$33,"",K282*(1+PARAMETROS!$C$36))</f>
        <v>66708.4504517072</v>
      </c>
      <c r="L283" s="20" t="n">
        <f aca="false">IF($A283&gt;PARAMETROS!$C$33,"",L282*(1+PARAMETROS!$C$37)*(1+M283))</f>
        <v>29777.4644072024</v>
      </c>
      <c r="M283" s="21" t="n">
        <f aca="false">IF($A283&gt;PARAMETROS!$C$33,"",IF(C283&lt;70,PARAMETROS!$C$40,IF(C283&lt;75,PARAMETROS!$C$41,IF(C283&lt;80,PARAMETROS!$C$42,IF(C283&lt;85,PARAMETROS!$C$43,IF(C283&lt;90,PARAMETROS!$C$44,PARAMETROS!$C$45))))))</f>
        <v>0.00041571484472902</v>
      </c>
      <c r="N283" s="20" t="n">
        <f aca="false">IF($A283&gt;PARAMETROS!$C$33,"",K283+L283)</f>
        <v>96485.9148589097</v>
      </c>
      <c r="O283" s="20" t="n">
        <f aca="false">IF($A283&gt;PARAMETROS!$C$33,"",I283+J283-N283)</f>
        <v>-23519.3935108953</v>
      </c>
      <c r="P283" s="20" t="n">
        <f aca="false">IF($A283&gt;PARAMETROS!$C$33,"",MAX(E283+I283+J283-N283,0))</f>
        <v>0</v>
      </c>
      <c r="Q283" s="22" t="str">
        <f aca="false">IF($A283&gt;PARAMETROS!$C$33,"",IF(P283&lt;=0,"AGOTADO","OK"))</f>
        <v>AGOTADO</v>
      </c>
    </row>
    <row r="284" customFormat="false" ht="15" hidden="false" customHeight="false" outlineLevel="0" collapsed="false">
      <c r="A284" s="19" t="n">
        <f aca="false">A283+1</f>
        <v>282</v>
      </c>
      <c r="B284" s="19" t="n">
        <f aca="false">IF($A284="","",ROUNDUP($A284/12,0))</f>
        <v>24</v>
      </c>
      <c r="C284" s="19" t="n">
        <f aca="false">IF($A284="","",PARAMETROS!$C$6+INT(($A284-1)/12))</f>
        <v>88</v>
      </c>
      <c r="D284" s="19" t="n">
        <f aca="false">IF($A284="","",MOD($A284-1,12)+1)</f>
        <v>6</v>
      </c>
      <c r="E284" s="20" t="n">
        <f aca="false">IF($A284&gt;PARAMETROS!$C$33,"",P283)</f>
        <v>0</v>
      </c>
      <c r="F284" s="21" t="n">
        <f aca="false">IF($A284&gt;PARAMETROS!$C$33,"",PARAMETROS!$C$38)</f>
        <v>0.00495440818448101</v>
      </c>
      <c r="G284" s="20" t="n">
        <f aca="false">IF($A284&gt;PARAMETROS!$C$33,"",E284*F284)</f>
        <v>0</v>
      </c>
      <c r="H284" s="20" t="n">
        <f aca="false">IF($A284&gt;PARAMETROS!$C$33,"",E284*PARAMETROS!$C$39)</f>
        <v>0</v>
      </c>
      <c r="I284" s="20" t="n">
        <f aca="false">IF($A284&gt;PARAMETROS!$C$33,"",G284-H284)</f>
        <v>0</v>
      </c>
      <c r="J284" s="20" t="n">
        <f aca="false">IF($A284&gt;PARAMETROS!$C$33,"",PARAMETROS!$C$9*(1+PARAMETROS!$C$17)^(B284-1))</f>
        <v>72966.5213480144</v>
      </c>
      <c r="K284" s="20" t="n">
        <f aca="false">IF($A284&gt;PARAMETROS!$C$33,"",K283*(1+PARAMETROS!$C$36))</f>
        <v>66937.017219746</v>
      </c>
      <c r="L284" s="20" t="n">
        <f aca="false">IF($A284&gt;PARAMETROS!$C$33,"",L283*(1+PARAMETROS!$C$37)*(1+M284))</f>
        <v>29907.4099461348</v>
      </c>
      <c r="M284" s="21" t="n">
        <f aca="false">IF($A284&gt;PARAMETROS!$C$33,"",IF(C284&lt;70,PARAMETROS!$C$40,IF(C284&lt;75,PARAMETROS!$C$41,IF(C284&lt;80,PARAMETROS!$C$42,IF(C284&lt;85,PARAMETROS!$C$43,IF(C284&lt;90,PARAMETROS!$C$44,PARAMETROS!$C$45))))))</f>
        <v>0.00041571484472902</v>
      </c>
      <c r="N284" s="20" t="n">
        <f aca="false">IF($A284&gt;PARAMETROS!$C$33,"",K284+L284)</f>
        <v>96844.4271658808</v>
      </c>
      <c r="O284" s="20" t="n">
        <f aca="false">IF($A284&gt;PARAMETROS!$C$33,"",I284+J284-N284)</f>
        <v>-23877.9058178664</v>
      </c>
      <c r="P284" s="20" t="n">
        <f aca="false">IF($A284&gt;PARAMETROS!$C$33,"",MAX(E284+I284+J284-N284,0))</f>
        <v>0</v>
      </c>
      <c r="Q284" s="22" t="str">
        <f aca="false">IF($A284&gt;PARAMETROS!$C$33,"",IF(P284&lt;=0,"AGOTADO","OK"))</f>
        <v>AGOTADO</v>
      </c>
    </row>
    <row r="285" customFormat="false" ht="15" hidden="false" customHeight="false" outlineLevel="0" collapsed="false">
      <c r="A285" s="19" t="n">
        <f aca="false">A284+1</f>
        <v>283</v>
      </c>
      <c r="B285" s="19" t="n">
        <f aca="false">IF($A285="","",ROUNDUP($A285/12,0))</f>
        <v>24</v>
      </c>
      <c r="C285" s="19" t="n">
        <f aca="false">IF($A285="","",PARAMETROS!$C$6+INT(($A285-1)/12))</f>
        <v>88</v>
      </c>
      <c r="D285" s="19" t="n">
        <f aca="false">IF($A285="","",MOD($A285-1,12)+1)</f>
        <v>7</v>
      </c>
      <c r="E285" s="20" t="n">
        <f aca="false">IF($A285&gt;PARAMETROS!$C$33,"",P284)</f>
        <v>0</v>
      </c>
      <c r="F285" s="21" t="n">
        <f aca="false">IF($A285&gt;PARAMETROS!$C$33,"",PARAMETROS!$C$38)</f>
        <v>0.00495440818448101</v>
      </c>
      <c r="G285" s="20" t="n">
        <f aca="false">IF($A285&gt;PARAMETROS!$C$33,"",E285*F285)</f>
        <v>0</v>
      </c>
      <c r="H285" s="20" t="n">
        <f aca="false">IF($A285&gt;PARAMETROS!$C$33,"",E285*PARAMETROS!$C$39)</f>
        <v>0</v>
      </c>
      <c r="I285" s="20" t="n">
        <f aca="false">IF($A285&gt;PARAMETROS!$C$33,"",G285-H285)</f>
        <v>0</v>
      </c>
      <c r="J285" s="20" t="n">
        <f aca="false">IF($A285&gt;PARAMETROS!$C$33,"",PARAMETROS!$C$9*(1+PARAMETROS!$C$17)^(B285-1))</f>
        <v>72966.5213480144</v>
      </c>
      <c r="K285" s="20" t="n">
        <f aca="false">IF($A285&gt;PARAMETROS!$C$33,"",K284*(1+PARAMETROS!$C$36))</f>
        <v>67166.3671384516</v>
      </c>
      <c r="L285" s="20" t="n">
        <f aca="false">IF($A285&gt;PARAMETROS!$C$33,"",L284*(1+PARAMETROS!$C$37)*(1+M285))</f>
        <v>30037.9225529295</v>
      </c>
      <c r="M285" s="21" t="n">
        <f aca="false">IF($A285&gt;PARAMETROS!$C$33,"",IF(C285&lt;70,PARAMETROS!$C$40,IF(C285&lt;75,PARAMETROS!$C$41,IF(C285&lt;80,PARAMETROS!$C$42,IF(C285&lt;85,PARAMETROS!$C$43,IF(C285&lt;90,PARAMETROS!$C$44,PARAMETROS!$C$45))))))</f>
        <v>0.00041571484472902</v>
      </c>
      <c r="N285" s="20" t="n">
        <f aca="false">IF($A285&gt;PARAMETROS!$C$33,"",K285+L285)</f>
        <v>97204.2896913811</v>
      </c>
      <c r="O285" s="20" t="n">
        <f aca="false">IF($A285&gt;PARAMETROS!$C$33,"",I285+J285-N285)</f>
        <v>-24237.7683433667</v>
      </c>
      <c r="P285" s="20" t="n">
        <f aca="false">IF($A285&gt;PARAMETROS!$C$33,"",MAX(E285+I285+J285-N285,0))</f>
        <v>0</v>
      </c>
      <c r="Q285" s="22" t="str">
        <f aca="false">IF($A285&gt;PARAMETROS!$C$33,"",IF(P285&lt;=0,"AGOTADO","OK"))</f>
        <v>AGOTADO</v>
      </c>
    </row>
    <row r="286" customFormat="false" ht="15" hidden="false" customHeight="false" outlineLevel="0" collapsed="false">
      <c r="A286" s="19" t="n">
        <f aca="false">A285+1</f>
        <v>284</v>
      </c>
      <c r="B286" s="19" t="n">
        <f aca="false">IF($A286="","",ROUNDUP($A286/12,0))</f>
        <v>24</v>
      </c>
      <c r="C286" s="19" t="n">
        <f aca="false">IF($A286="","",PARAMETROS!$C$6+INT(($A286-1)/12))</f>
        <v>88</v>
      </c>
      <c r="D286" s="19" t="n">
        <f aca="false">IF($A286="","",MOD($A286-1,12)+1)</f>
        <v>8</v>
      </c>
      <c r="E286" s="20" t="n">
        <f aca="false">IF($A286&gt;PARAMETROS!$C$33,"",P285)</f>
        <v>0</v>
      </c>
      <c r="F286" s="21" t="n">
        <f aca="false">IF($A286&gt;PARAMETROS!$C$33,"",PARAMETROS!$C$38)</f>
        <v>0.00495440818448101</v>
      </c>
      <c r="G286" s="20" t="n">
        <f aca="false">IF($A286&gt;PARAMETROS!$C$33,"",E286*F286)</f>
        <v>0</v>
      </c>
      <c r="H286" s="20" t="n">
        <f aca="false">IF($A286&gt;PARAMETROS!$C$33,"",E286*PARAMETROS!$C$39)</f>
        <v>0</v>
      </c>
      <c r="I286" s="20" t="n">
        <f aca="false">IF($A286&gt;PARAMETROS!$C$33,"",G286-H286)</f>
        <v>0</v>
      </c>
      <c r="J286" s="20" t="n">
        <f aca="false">IF($A286&gt;PARAMETROS!$C$33,"",PARAMETROS!$C$9*(1+PARAMETROS!$C$17)^(B286-1))</f>
        <v>72966.5213480144</v>
      </c>
      <c r="K286" s="20" t="n">
        <f aca="false">IF($A286&gt;PARAMETROS!$C$33,"",K285*(1+PARAMETROS!$C$36))</f>
        <v>67396.5028911755</v>
      </c>
      <c r="L286" s="20" t="n">
        <f aca="false">IF($A286&gt;PARAMETROS!$C$33,"",L285*(1+PARAMETROS!$C$37)*(1+M286))</f>
        <v>30169.0047022076</v>
      </c>
      <c r="M286" s="21" t="n">
        <f aca="false">IF($A286&gt;PARAMETROS!$C$33,"",IF(C286&lt;70,PARAMETROS!$C$40,IF(C286&lt;75,PARAMETROS!$C$41,IF(C286&lt;80,PARAMETROS!$C$42,IF(C286&lt;85,PARAMETROS!$C$43,IF(C286&lt;90,PARAMETROS!$C$44,PARAMETROS!$C$45))))))</f>
        <v>0.00041571484472902</v>
      </c>
      <c r="N286" s="20" t="n">
        <f aca="false">IF($A286&gt;PARAMETROS!$C$33,"",K286+L286)</f>
        <v>97565.507593383</v>
      </c>
      <c r="O286" s="20" t="n">
        <f aca="false">IF($A286&gt;PARAMETROS!$C$33,"",I286+J286-N286)</f>
        <v>-24598.9862453686</v>
      </c>
      <c r="P286" s="20" t="n">
        <f aca="false">IF($A286&gt;PARAMETROS!$C$33,"",MAX(E286+I286+J286-N286,0))</f>
        <v>0</v>
      </c>
      <c r="Q286" s="22" t="str">
        <f aca="false">IF($A286&gt;PARAMETROS!$C$33,"",IF(P286&lt;=0,"AGOTADO","OK"))</f>
        <v>AGOTADO</v>
      </c>
    </row>
    <row r="287" customFormat="false" ht="15" hidden="false" customHeight="false" outlineLevel="0" collapsed="false">
      <c r="A287" s="19" t="n">
        <f aca="false">A286+1</f>
        <v>285</v>
      </c>
      <c r="B287" s="19" t="n">
        <f aca="false">IF($A287="","",ROUNDUP($A287/12,0))</f>
        <v>24</v>
      </c>
      <c r="C287" s="19" t="n">
        <f aca="false">IF($A287="","",PARAMETROS!$C$6+INT(($A287-1)/12))</f>
        <v>88</v>
      </c>
      <c r="D287" s="19" t="n">
        <f aca="false">IF($A287="","",MOD($A287-1,12)+1)</f>
        <v>9</v>
      </c>
      <c r="E287" s="20" t="n">
        <f aca="false">IF($A287&gt;PARAMETROS!$C$33,"",P286)</f>
        <v>0</v>
      </c>
      <c r="F287" s="21" t="n">
        <f aca="false">IF($A287&gt;PARAMETROS!$C$33,"",PARAMETROS!$C$38)</f>
        <v>0.00495440818448101</v>
      </c>
      <c r="G287" s="20" t="n">
        <f aca="false">IF($A287&gt;PARAMETROS!$C$33,"",E287*F287)</f>
        <v>0</v>
      </c>
      <c r="H287" s="20" t="n">
        <f aca="false">IF($A287&gt;PARAMETROS!$C$33,"",E287*PARAMETROS!$C$39)</f>
        <v>0</v>
      </c>
      <c r="I287" s="20" t="n">
        <f aca="false">IF($A287&gt;PARAMETROS!$C$33,"",G287-H287)</f>
        <v>0</v>
      </c>
      <c r="J287" s="20" t="n">
        <f aca="false">IF($A287&gt;PARAMETROS!$C$33,"",PARAMETROS!$C$9*(1+PARAMETROS!$C$17)^(B287-1))</f>
        <v>72966.5213480144</v>
      </c>
      <c r="K287" s="20" t="n">
        <f aca="false">IF($A287&gt;PARAMETROS!$C$33,"",K286*(1+PARAMETROS!$C$36))</f>
        <v>67627.4271704631</v>
      </c>
      <c r="L287" s="20" t="n">
        <f aca="false">IF($A287&gt;PARAMETROS!$C$33,"",L286*(1+PARAMETROS!$C$37)*(1+M287))</f>
        <v>30300.658879389</v>
      </c>
      <c r="M287" s="21" t="n">
        <f aca="false">IF($A287&gt;PARAMETROS!$C$33,"",IF(C287&lt;70,PARAMETROS!$C$40,IF(C287&lt;75,PARAMETROS!$C$41,IF(C287&lt;80,PARAMETROS!$C$42,IF(C287&lt;85,PARAMETROS!$C$43,IF(C287&lt;90,PARAMETROS!$C$44,PARAMETROS!$C$45))))))</f>
        <v>0.00041571484472902</v>
      </c>
      <c r="N287" s="20" t="n">
        <f aca="false">IF($A287&gt;PARAMETROS!$C$33,"",K287+L287)</f>
        <v>97928.0860498521</v>
      </c>
      <c r="O287" s="20" t="n">
        <f aca="false">IF($A287&gt;PARAMETROS!$C$33,"",I287+J287-N287)</f>
        <v>-24961.5647018377</v>
      </c>
      <c r="P287" s="20" t="n">
        <f aca="false">IF($A287&gt;PARAMETROS!$C$33,"",MAX(E287+I287+J287-N287,0))</f>
        <v>0</v>
      </c>
      <c r="Q287" s="22" t="str">
        <f aca="false">IF($A287&gt;PARAMETROS!$C$33,"",IF(P287&lt;=0,"AGOTADO","OK"))</f>
        <v>AGOTADO</v>
      </c>
    </row>
    <row r="288" customFormat="false" ht="15" hidden="false" customHeight="false" outlineLevel="0" collapsed="false">
      <c r="A288" s="19" t="n">
        <f aca="false">A287+1</f>
        <v>286</v>
      </c>
      <c r="B288" s="19" t="n">
        <f aca="false">IF($A288="","",ROUNDUP($A288/12,0))</f>
        <v>24</v>
      </c>
      <c r="C288" s="19" t="n">
        <f aca="false">IF($A288="","",PARAMETROS!$C$6+INT(($A288-1)/12))</f>
        <v>88</v>
      </c>
      <c r="D288" s="19" t="n">
        <f aca="false">IF($A288="","",MOD($A288-1,12)+1)</f>
        <v>10</v>
      </c>
      <c r="E288" s="20" t="n">
        <f aca="false">IF($A288&gt;PARAMETROS!$C$33,"",P287)</f>
        <v>0</v>
      </c>
      <c r="F288" s="21" t="n">
        <f aca="false">IF($A288&gt;PARAMETROS!$C$33,"",PARAMETROS!$C$38)</f>
        <v>0.00495440818448101</v>
      </c>
      <c r="G288" s="20" t="n">
        <f aca="false">IF($A288&gt;PARAMETROS!$C$33,"",E288*F288)</f>
        <v>0</v>
      </c>
      <c r="H288" s="20" t="n">
        <f aca="false">IF($A288&gt;PARAMETROS!$C$33,"",E288*PARAMETROS!$C$39)</f>
        <v>0</v>
      </c>
      <c r="I288" s="20" t="n">
        <f aca="false">IF($A288&gt;PARAMETROS!$C$33,"",G288-H288)</f>
        <v>0</v>
      </c>
      <c r="J288" s="20" t="n">
        <f aca="false">IF($A288&gt;PARAMETROS!$C$33,"",PARAMETROS!$C$9*(1+PARAMETROS!$C$17)^(B288-1))</f>
        <v>72966.5213480144</v>
      </c>
      <c r="K288" s="20" t="n">
        <f aca="false">IF($A288&gt;PARAMETROS!$C$33,"",K287*(1+PARAMETROS!$C$36))</f>
        <v>67859.1426780856</v>
      </c>
      <c r="L288" s="20" t="n">
        <f aca="false">IF($A288&gt;PARAMETROS!$C$33,"",L287*(1+PARAMETROS!$C$37)*(1+M288))</f>
        <v>30432.8875807399</v>
      </c>
      <c r="M288" s="21" t="n">
        <f aca="false">IF($A288&gt;PARAMETROS!$C$33,"",IF(C288&lt;70,PARAMETROS!$C$40,IF(C288&lt;75,PARAMETROS!$C$41,IF(C288&lt;80,PARAMETROS!$C$42,IF(C288&lt;85,PARAMETROS!$C$43,IF(C288&lt;90,PARAMETROS!$C$44,PARAMETROS!$C$45))))))</f>
        <v>0.00041571484472902</v>
      </c>
      <c r="N288" s="20" t="n">
        <f aca="false">IF($A288&gt;PARAMETROS!$C$33,"",K288+L288)</f>
        <v>98292.0302588256</v>
      </c>
      <c r="O288" s="20" t="n">
        <f aca="false">IF($A288&gt;PARAMETROS!$C$33,"",I288+J288-N288)</f>
        <v>-25325.5089108112</v>
      </c>
      <c r="P288" s="20" t="n">
        <f aca="false">IF($A288&gt;PARAMETROS!$C$33,"",MAX(E288+I288+J288-N288,0))</f>
        <v>0</v>
      </c>
      <c r="Q288" s="22" t="str">
        <f aca="false">IF($A288&gt;PARAMETROS!$C$33,"",IF(P288&lt;=0,"AGOTADO","OK"))</f>
        <v>AGOTADO</v>
      </c>
    </row>
    <row r="289" customFormat="false" ht="15" hidden="false" customHeight="false" outlineLevel="0" collapsed="false">
      <c r="A289" s="19" t="n">
        <f aca="false">A288+1</f>
        <v>287</v>
      </c>
      <c r="B289" s="19" t="n">
        <f aca="false">IF($A289="","",ROUNDUP($A289/12,0))</f>
        <v>24</v>
      </c>
      <c r="C289" s="19" t="n">
        <f aca="false">IF($A289="","",PARAMETROS!$C$6+INT(($A289-1)/12))</f>
        <v>88</v>
      </c>
      <c r="D289" s="19" t="n">
        <f aca="false">IF($A289="","",MOD($A289-1,12)+1)</f>
        <v>11</v>
      </c>
      <c r="E289" s="20" t="n">
        <f aca="false">IF($A289&gt;PARAMETROS!$C$33,"",P288)</f>
        <v>0</v>
      </c>
      <c r="F289" s="21" t="n">
        <f aca="false">IF($A289&gt;PARAMETROS!$C$33,"",PARAMETROS!$C$38)</f>
        <v>0.00495440818448101</v>
      </c>
      <c r="G289" s="20" t="n">
        <f aca="false">IF($A289&gt;PARAMETROS!$C$33,"",E289*F289)</f>
        <v>0</v>
      </c>
      <c r="H289" s="20" t="n">
        <f aca="false">IF($A289&gt;PARAMETROS!$C$33,"",E289*PARAMETROS!$C$39)</f>
        <v>0</v>
      </c>
      <c r="I289" s="20" t="n">
        <f aca="false">IF($A289&gt;PARAMETROS!$C$33,"",G289-H289)</f>
        <v>0</v>
      </c>
      <c r="J289" s="20" t="n">
        <f aca="false">IF($A289&gt;PARAMETROS!$C$33,"",PARAMETROS!$C$9*(1+PARAMETROS!$C$17)^(B289-1))</f>
        <v>72966.5213480144</v>
      </c>
      <c r="K289" s="20" t="n">
        <f aca="false">IF($A289&gt;PARAMETROS!$C$33,"",K288*(1+PARAMETROS!$C$36))</f>
        <v>68091.6521250716</v>
      </c>
      <c r="L289" s="20" t="n">
        <f aca="false">IF($A289&gt;PARAMETROS!$C$33,"",L288*(1+PARAMETROS!$C$37)*(1+M289))</f>
        <v>30565.6933134198</v>
      </c>
      <c r="M289" s="21" t="n">
        <f aca="false">IF($A289&gt;PARAMETROS!$C$33,"",IF(C289&lt;70,PARAMETROS!$C$40,IF(C289&lt;75,PARAMETROS!$C$41,IF(C289&lt;80,PARAMETROS!$C$42,IF(C289&lt;85,PARAMETROS!$C$43,IF(C289&lt;90,PARAMETROS!$C$44,PARAMETROS!$C$45))))))</f>
        <v>0.00041571484472902</v>
      </c>
      <c r="N289" s="20" t="n">
        <f aca="false">IF($A289&gt;PARAMETROS!$C$33,"",K289+L289)</f>
        <v>98657.3454384913</v>
      </c>
      <c r="O289" s="20" t="n">
        <f aca="false">IF($A289&gt;PARAMETROS!$C$33,"",I289+J289-N289)</f>
        <v>-25690.8240904769</v>
      </c>
      <c r="P289" s="20" t="n">
        <f aca="false">IF($A289&gt;PARAMETROS!$C$33,"",MAX(E289+I289+J289-N289,0))</f>
        <v>0</v>
      </c>
      <c r="Q289" s="22" t="str">
        <f aca="false">IF($A289&gt;PARAMETROS!$C$33,"",IF(P289&lt;=0,"AGOTADO","OK"))</f>
        <v>AGOTADO</v>
      </c>
    </row>
    <row r="290" customFormat="false" ht="15" hidden="false" customHeight="false" outlineLevel="0" collapsed="false">
      <c r="A290" s="19" t="n">
        <f aca="false">A289+1</f>
        <v>288</v>
      </c>
      <c r="B290" s="19" t="n">
        <f aca="false">IF($A290="","",ROUNDUP($A290/12,0))</f>
        <v>24</v>
      </c>
      <c r="C290" s="19" t="n">
        <f aca="false">IF($A290="","",PARAMETROS!$C$6+INT(($A290-1)/12))</f>
        <v>88</v>
      </c>
      <c r="D290" s="19" t="n">
        <f aca="false">IF($A290="","",MOD($A290-1,12)+1)</f>
        <v>12</v>
      </c>
      <c r="E290" s="20" t="n">
        <f aca="false">IF($A290&gt;PARAMETROS!$C$33,"",P289)</f>
        <v>0</v>
      </c>
      <c r="F290" s="21" t="n">
        <f aca="false">IF($A290&gt;PARAMETROS!$C$33,"",PARAMETROS!$C$38)</f>
        <v>0.00495440818448101</v>
      </c>
      <c r="G290" s="20" t="n">
        <f aca="false">IF($A290&gt;PARAMETROS!$C$33,"",E290*F290)</f>
        <v>0</v>
      </c>
      <c r="H290" s="20" t="n">
        <f aca="false">IF($A290&gt;PARAMETROS!$C$33,"",E290*PARAMETROS!$C$39)</f>
        <v>0</v>
      </c>
      <c r="I290" s="20" t="n">
        <f aca="false">IF($A290&gt;PARAMETROS!$C$33,"",G290-H290)</f>
        <v>0</v>
      </c>
      <c r="J290" s="20" t="n">
        <f aca="false">IF($A290&gt;PARAMETROS!$C$33,"",PARAMETROS!$C$9*(1+PARAMETROS!$C$17)^(B290-1))</f>
        <v>72966.5213480144</v>
      </c>
      <c r="K290" s="20" t="n">
        <f aca="false">IF($A290&gt;PARAMETROS!$C$33,"",K289*(1+PARAMETROS!$C$36))</f>
        <v>68324.9582317382</v>
      </c>
      <c r="L290" s="20" t="n">
        <f aca="false">IF($A290&gt;PARAMETROS!$C$33,"",L289*(1+PARAMETROS!$C$37)*(1+M290))</f>
        <v>30699.078595529</v>
      </c>
      <c r="M290" s="21" t="n">
        <f aca="false">IF($A290&gt;PARAMETROS!$C$33,"",IF(C290&lt;70,PARAMETROS!$C$40,IF(C290&lt;75,PARAMETROS!$C$41,IF(C290&lt;80,PARAMETROS!$C$42,IF(C290&lt;85,PARAMETROS!$C$43,IF(C290&lt;90,PARAMETROS!$C$44,PARAMETROS!$C$45))))))</f>
        <v>0.00041571484472902</v>
      </c>
      <c r="N290" s="20" t="n">
        <f aca="false">IF($A290&gt;PARAMETROS!$C$33,"",K290+L290)</f>
        <v>99024.0368272672</v>
      </c>
      <c r="O290" s="20" t="n">
        <f aca="false">IF($A290&gt;PARAMETROS!$C$33,"",I290+J290-N290)</f>
        <v>-26057.5154792528</v>
      </c>
      <c r="P290" s="20" t="n">
        <f aca="false">IF($A290&gt;PARAMETROS!$C$33,"",MAX(E290+I290+J290-N290,0))</f>
        <v>0</v>
      </c>
      <c r="Q290" s="22" t="str">
        <f aca="false">IF($A290&gt;PARAMETROS!$C$33,"",IF(P290&lt;=0,"AGOTADO","OK"))</f>
        <v>AGOTADO</v>
      </c>
    </row>
    <row r="291" customFormat="false" ht="15" hidden="false" customHeight="false" outlineLevel="0" collapsed="false">
      <c r="A291" s="15" t="n">
        <f aca="false">A290+1</f>
        <v>289</v>
      </c>
      <c r="B291" s="15" t="n">
        <f aca="false">IF($A291="","",ROUNDUP($A291/12,0))</f>
        <v>25</v>
      </c>
      <c r="C291" s="15" t="n">
        <f aca="false">IF($A291="","",PARAMETROS!$C$6+INT(($A291-1)/12))</f>
        <v>89</v>
      </c>
      <c r="D291" s="15" t="n">
        <f aca="false">IF($A291="","",MOD($A291-1,12)+1)</f>
        <v>1</v>
      </c>
      <c r="E291" s="16" t="n">
        <f aca="false">IF($A291&gt;PARAMETROS!$C$33,"",P290)</f>
        <v>0</v>
      </c>
      <c r="F291" s="17" t="n">
        <f aca="false">IF($A291&gt;PARAMETROS!$C$33,"",PARAMETROS!$C$38)</f>
        <v>0.00495440818448101</v>
      </c>
      <c r="G291" s="16" t="n">
        <f aca="false">IF($A291&gt;PARAMETROS!$C$33,"",E291*F291)</f>
        <v>0</v>
      </c>
      <c r="H291" s="16" t="n">
        <f aca="false">IF($A291&gt;PARAMETROS!$C$33,"",E291*PARAMETROS!$C$39)</f>
        <v>0</v>
      </c>
      <c r="I291" s="16" t="n">
        <f aca="false">IF($A291&gt;PARAMETROS!$C$33,"",G291-H291)</f>
        <v>0</v>
      </c>
      <c r="J291" s="16" t="n">
        <f aca="false">IF($A291&gt;PARAMETROS!$C$33,"",PARAMETROS!$C$9*(1+PARAMETROS!$C$17)^(B291-1))</f>
        <v>75841.4022891262</v>
      </c>
      <c r="K291" s="16" t="n">
        <f aca="false">IF($A291&gt;PARAMETROS!$C$33,"",K290*(1+PARAMETROS!$C$36))</f>
        <v>68559.0637277236</v>
      </c>
      <c r="L291" s="16" t="n">
        <f aca="false">IF($A291&gt;PARAMETROS!$C$33,"",L290*(1+PARAMETROS!$C$37)*(1+M291))</f>
        <v>30833.0459561568</v>
      </c>
      <c r="M291" s="17" t="n">
        <f aca="false">IF($A291&gt;PARAMETROS!$C$33,"",IF(C291&lt;70,PARAMETROS!$C$40,IF(C291&lt;75,PARAMETROS!$C$41,IF(C291&lt;80,PARAMETROS!$C$42,IF(C291&lt;85,PARAMETROS!$C$43,IF(C291&lt;90,PARAMETROS!$C$44,PARAMETROS!$C$45))))))</f>
        <v>0.00041571484472902</v>
      </c>
      <c r="N291" s="16" t="n">
        <f aca="false">IF($A291&gt;PARAMETROS!$C$33,"",K291+L291)</f>
        <v>99392.1096838804</v>
      </c>
      <c r="O291" s="16" t="n">
        <f aca="false">IF($A291&gt;PARAMETROS!$C$33,"",I291+J291-N291)</f>
        <v>-23550.7073947542</v>
      </c>
      <c r="P291" s="16" t="n">
        <f aca="false">IF($A291&gt;PARAMETROS!$C$33,"",MAX(E291+I291+J291-N291,0))</f>
        <v>0</v>
      </c>
      <c r="Q291" s="18" t="str">
        <f aca="false">IF($A291&gt;PARAMETROS!$C$33,"",IF(P291&lt;=0,"AGOTADO","OK"))</f>
        <v>AGOTADO</v>
      </c>
    </row>
    <row r="292" customFormat="false" ht="15" hidden="false" customHeight="false" outlineLevel="0" collapsed="false">
      <c r="A292" s="15" t="n">
        <f aca="false">A291+1</f>
        <v>290</v>
      </c>
      <c r="B292" s="15" t="n">
        <f aca="false">IF($A292="","",ROUNDUP($A292/12,0))</f>
        <v>25</v>
      </c>
      <c r="C292" s="15" t="n">
        <f aca="false">IF($A292="","",PARAMETROS!$C$6+INT(($A292-1)/12))</f>
        <v>89</v>
      </c>
      <c r="D292" s="15" t="n">
        <f aca="false">IF($A292="","",MOD($A292-1,12)+1)</f>
        <v>2</v>
      </c>
      <c r="E292" s="16" t="n">
        <f aca="false">IF($A292&gt;PARAMETROS!$C$33,"",P291)</f>
        <v>0</v>
      </c>
      <c r="F292" s="17" t="n">
        <f aca="false">IF($A292&gt;PARAMETROS!$C$33,"",PARAMETROS!$C$38)</f>
        <v>0.00495440818448101</v>
      </c>
      <c r="G292" s="16" t="n">
        <f aca="false">IF($A292&gt;PARAMETROS!$C$33,"",E292*F292)</f>
        <v>0</v>
      </c>
      <c r="H292" s="16" t="n">
        <f aca="false">IF($A292&gt;PARAMETROS!$C$33,"",E292*PARAMETROS!$C$39)</f>
        <v>0</v>
      </c>
      <c r="I292" s="16" t="n">
        <f aca="false">IF($A292&gt;PARAMETROS!$C$33,"",G292-H292)</f>
        <v>0</v>
      </c>
      <c r="J292" s="16" t="n">
        <f aca="false">IF($A292&gt;PARAMETROS!$C$33,"",PARAMETROS!$C$9*(1+PARAMETROS!$C$17)^(B292-1))</f>
        <v>75841.4022891262</v>
      </c>
      <c r="K292" s="16" t="n">
        <f aca="false">IF($A292&gt;PARAMETROS!$C$33,"",K291*(1+PARAMETROS!$C$36))</f>
        <v>68793.9713520186</v>
      </c>
      <c r="L292" s="16" t="n">
        <f aca="false">IF($A292&gt;PARAMETROS!$C$33,"",L291*(1+PARAMETROS!$C$37)*(1+M292))</f>
        <v>30967.5979354291</v>
      </c>
      <c r="M292" s="17" t="n">
        <f aca="false">IF($A292&gt;PARAMETROS!$C$33,"",IF(C292&lt;70,PARAMETROS!$C$40,IF(C292&lt;75,PARAMETROS!$C$41,IF(C292&lt;80,PARAMETROS!$C$42,IF(C292&lt;85,PARAMETROS!$C$43,IF(C292&lt;90,PARAMETROS!$C$44,PARAMETROS!$C$45))))))</f>
        <v>0.00041571484472902</v>
      </c>
      <c r="N292" s="16" t="n">
        <f aca="false">IF($A292&gt;PARAMETROS!$C$33,"",K292+L292)</f>
        <v>99761.5692874477</v>
      </c>
      <c r="O292" s="16" t="n">
        <f aca="false">IF($A292&gt;PARAMETROS!$C$33,"",I292+J292-N292)</f>
        <v>-23920.1669983215</v>
      </c>
      <c r="P292" s="16" t="n">
        <f aca="false">IF($A292&gt;PARAMETROS!$C$33,"",MAX(E292+I292+J292-N292,0))</f>
        <v>0</v>
      </c>
      <c r="Q292" s="18" t="str">
        <f aca="false">IF($A292&gt;PARAMETROS!$C$33,"",IF(P292&lt;=0,"AGOTADO","OK"))</f>
        <v>AGOTADO</v>
      </c>
    </row>
    <row r="293" customFormat="false" ht="15" hidden="false" customHeight="false" outlineLevel="0" collapsed="false">
      <c r="A293" s="15" t="n">
        <f aca="false">A292+1</f>
        <v>291</v>
      </c>
      <c r="B293" s="15" t="n">
        <f aca="false">IF($A293="","",ROUNDUP($A293/12,0))</f>
        <v>25</v>
      </c>
      <c r="C293" s="15" t="n">
        <f aca="false">IF($A293="","",PARAMETROS!$C$6+INT(($A293-1)/12))</f>
        <v>89</v>
      </c>
      <c r="D293" s="15" t="n">
        <f aca="false">IF($A293="","",MOD($A293-1,12)+1)</f>
        <v>3</v>
      </c>
      <c r="E293" s="16" t="n">
        <f aca="false">IF($A293&gt;PARAMETROS!$C$33,"",P292)</f>
        <v>0</v>
      </c>
      <c r="F293" s="17" t="n">
        <f aca="false">IF($A293&gt;PARAMETROS!$C$33,"",PARAMETROS!$C$38)</f>
        <v>0.00495440818448101</v>
      </c>
      <c r="G293" s="16" t="n">
        <f aca="false">IF($A293&gt;PARAMETROS!$C$33,"",E293*F293)</f>
        <v>0</v>
      </c>
      <c r="H293" s="16" t="n">
        <f aca="false">IF($A293&gt;PARAMETROS!$C$33,"",E293*PARAMETROS!$C$39)</f>
        <v>0</v>
      </c>
      <c r="I293" s="16" t="n">
        <f aca="false">IF($A293&gt;PARAMETROS!$C$33,"",G293-H293)</f>
        <v>0</v>
      </c>
      <c r="J293" s="16" t="n">
        <f aca="false">IF($A293&gt;PARAMETROS!$C$33,"",PARAMETROS!$C$9*(1+PARAMETROS!$C$17)^(B293-1))</f>
        <v>75841.4022891262</v>
      </c>
      <c r="K293" s="16" t="n">
        <f aca="false">IF($A293&gt;PARAMETROS!$C$33,"",K292*(1+PARAMETROS!$C$36))</f>
        <v>69029.6838529988</v>
      </c>
      <c r="L293" s="16" t="n">
        <f aca="false">IF($A293&gt;PARAMETROS!$C$33,"",L292*(1+PARAMETROS!$C$37)*(1+M293))</f>
        <v>31102.7370845564</v>
      </c>
      <c r="M293" s="17" t="n">
        <f aca="false">IF($A293&gt;PARAMETROS!$C$33,"",IF(C293&lt;70,PARAMETROS!$C$40,IF(C293&lt;75,PARAMETROS!$C$41,IF(C293&lt;80,PARAMETROS!$C$42,IF(C293&lt;85,PARAMETROS!$C$43,IF(C293&lt;90,PARAMETROS!$C$44,PARAMETROS!$C$45))))))</f>
        <v>0.00041571484472902</v>
      </c>
      <c r="N293" s="16" t="n">
        <f aca="false">IF($A293&gt;PARAMETROS!$C$33,"",K293+L293)</f>
        <v>100132.420937555</v>
      </c>
      <c r="O293" s="16" t="n">
        <f aca="false">IF($A293&gt;PARAMETROS!$C$33,"",I293+J293-N293)</f>
        <v>-24291.018648429</v>
      </c>
      <c r="P293" s="16" t="n">
        <f aca="false">IF($A293&gt;PARAMETROS!$C$33,"",MAX(E293+I293+J293-N293,0))</f>
        <v>0</v>
      </c>
      <c r="Q293" s="18" t="str">
        <f aca="false">IF($A293&gt;PARAMETROS!$C$33,"",IF(P293&lt;=0,"AGOTADO","OK"))</f>
        <v>AGOTADO</v>
      </c>
    </row>
    <row r="294" customFormat="false" ht="15" hidden="false" customHeight="false" outlineLevel="0" collapsed="false">
      <c r="A294" s="15" t="n">
        <f aca="false">A293+1</f>
        <v>292</v>
      </c>
      <c r="B294" s="15" t="n">
        <f aca="false">IF($A294="","",ROUNDUP($A294/12,0))</f>
        <v>25</v>
      </c>
      <c r="C294" s="15" t="n">
        <f aca="false">IF($A294="","",PARAMETROS!$C$6+INT(($A294-1)/12))</f>
        <v>89</v>
      </c>
      <c r="D294" s="15" t="n">
        <f aca="false">IF($A294="","",MOD($A294-1,12)+1)</f>
        <v>4</v>
      </c>
      <c r="E294" s="16" t="n">
        <f aca="false">IF($A294&gt;PARAMETROS!$C$33,"",P293)</f>
        <v>0</v>
      </c>
      <c r="F294" s="17" t="n">
        <f aca="false">IF($A294&gt;PARAMETROS!$C$33,"",PARAMETROS!$C$38)</f>
        <v>0.00495440818448101</v>
      </c>
      <c r="G294" s="16" t="n">
        <f aca="false">IF($A294&gt;PARAMETROS!$C$33,"",E294*F294)</f>
        <v>0</v>
      </c>
      <c r="H294" s="16" t="n">
        <f aca="false">IF($A294&gt;PARAMETROS!$C$33,"",E294*PARAMETROS!$C$39)</f>
        <v>0</v>
      </c>
      <c r="I294" s="16" t="n">
        <f aca="false">IF($A294&gt;PARAMETROS!$C$33,"",G294-H294)</f>
        <v>0</v>
      </c>
      <c r="J294" s="16" t="n">
        <f aca="false">IF($A294&gt;PARAMETROS!$C$33,"",PARAMETROS!$C$9*(1+PARAMETROS!$C$17)^(B294-1))</f>
        <v>75841.4022891262</v>
      </c>
      <c r="K294" s="16" t="n">
        <f aca="false">IF($A294&gt;PARAMETROS!$C$33,"",K293*(1+PARAMETROS!$C$36))</f>
        <v>69266.2039884566</v>
      </c>
      <c r="L294" s="16" t="n">
        <f aca="false">IF($A294&gt;PARAMETROS!$C$33,"",L293*(1+PARAMETROS!$C$37)*(1+M294))</f>
        <v>31238.4659658827</v>
      </c>
      <c r="M294" s="17" t="n">
        <f aca="false">IF($A294&gt;PARAMETROS!$C$33,"",IF(C294&lt;70,PARAMETROS!$C$40,IF(C294&lt;75,PARAMETROS!$C$41,IF(C294&lt;80,PARAMETROS!$C$42,IF(C294&lt;85,PARAMETROS!$C$43,IF(C294&lt;90,PARAMETROS!$C$44,PARAMETROS!$C$45))))))</f>
        <v>0.00041571484472902</v>
      </c>
      <c r="N294" s="16" t="n">
        <f aca="false">IF($A294&gt;PARAMETROS!$C$33,"",K294+L294)</f>
        <v>100504.669954339</v>
      </c>
      <c r="O294" s="16" t="n">
        <f aca="false">IF($A294&gt;PARAMETROS!$C$33,"",I294+J294-N294)</f>
        <v>-24663.2676652132</v>
      </c>
      <c r="P294" s="16" t="n">
        <f aca="false">IF($A294&gt;PARAMETROS!$C$33,"",MAX(E294+I294+J294-N294,0))</f>
        <v>0</v>
      </c>
      <c r="Q294" s="18" t="str">
        <f aca="false">IF($A294&gt;PARAMETROS!$C$33,"",IF(P294&lt;=0,"AGOTADO","OK"))</f>
        <v>AGOTADO</v>
      </c>
    </row>
    <row r="295" customFormat="false" ht="15" hidden="false" customHeight="false" outlineLevel="0" collapsed="false">
      <c r="A295" s="15" t="n">
        <f aca="false">A294+1</f>
        <v>293</v>
      </c>
      <c r="B295" s="15" t="n">
        <f aca="false">IF($A295="","",ROUNDUP($A295/12,0))</f>
        <v>25</v>
      </c>
      <c r="C295" s="15" t="n">
        <f aca="false">IF($A295="","",PARAMETROS!$C$6+INT(($A295-1)/12))</f>
        <v>89</v>
      </c>
      <c r="D295" s="15" t="n">
        <f aca="false">IF($A295="","",MOD($A295-1,12)+1)</f>
        <v>5</v>
      </c>
      <c r="E295" s="16" t="n">
        <f aca="false">IF($A295&gt;PARAMETROS!$C$33,"",P294)</f>
        <v>0</v>
      </c>
      <c r="F295" s="17" t="n">
        <f aca="false">IF($A295&gt;PARAMETROS!$C$33,"",PARAMETROS!$C$38)</f>
        <v>0.00495440818448101</v>
      </c>
      <c r="G295" s="16" t="n">
        <f aca="false">IF($A295&gt;PARAMETROS!$C$33,"",E295*F295)</f>
        <v>0</v>
      </c>
      <c r="H295" s="16" t="n">
        <f aca="false">IF($A295&gt;PARAMETROS!$C$33,"",E295*PARAMETROS!$C$39)</f>
        <v>0</v>
      </c>
      <c r="I295" s="16" t="n">
        <f aca="false">IF($A295&gt;PARAMETROS!$C$33,"",G295-H295)</f>
        <v>0</v>
      </c>
      <c r="J295" s="16" t="n">
        <f aca="false">IF($A295&gt;PARAMETROS!$C$33,"",PARAMETROS!$C$9*(1+PARAMETROS!$C$17)^(B295-1))</f>
        <v>75841.4022891262</v>
      </c>
      <c r="K295" s="16" t="n">
        <f aca="false">IF($A295&gt;PARAMETROS!$C$33,"",K294*(1+PARAMETROS!$C$36))</f>
        <v>69503.5345256338</v>
      </c>
      <c r="L295" s="16" t="n">
        <f aca="false">IF($A295&gt;PARAMETROS!$C$33,"",L294*(1+PARAMETROS!$C$37)*(1+M295))</f>
        <v>31374.7871529336</v>
      </c>
      <c r="M295" s="17" t="n">
        <f aca="false">IF($A295&gt;PARAMETROS!$C$33,"",IF(C295&lt;70,PARAMETROS!$C$40,IF(C295&lt;75,PARAMETROS!$C$41,IF(C295&lt;80,PARAMETROS!$C$42,IF(C295&lt;85,PARAMETROS!$C$43,IF(C295&lt;90,PARAMETROS!$C$44,PARAMETROS!$C$45))))))</f>
        <v>0.00041571484472902</v>
      </c>
      <c r="N295" s="16" t="n">
        <f aca="false">IF($A295&gt;PARAMETROS!$C$33,"",K295+L295)</f>
        <v>100878.321678567</v>
      </c>
      <c r="O295" s="16" t="n">
        <f aca="false">IF($A295&gt;PARAMETROS!$C$33,"",I295+J295-N295)</f>
        <v>-25036.9193894412</v>
      </c>
      <c r="P295" s="16" t="n">
        <f aca="false">IF($A295&gt;PARAMETROS!$C$33,"",MAX(E295+I295+J295-N295,0))</f>
        <v>0</v>
      </c>
      <c r="Q295" s="18" t="str">
        <f aca="false">IF($A295&gt;PARAMETROS!$C$33,"",IF(P295&lt;=0,"AGOTADO","OK"))</f>
        <v>AGOTADO</v>
      </c>
    </row>
    <row r="296" customFormat="false" ht="15" hidden="false" customHeight="false" outlineLevel="0" collapsed="false">
      <c r="A296" s="15" t="n">
        <f aca="false">A295+1</f>
        <v>294</v>
      </c>
      <c r="B296" s="15" t="n">
        <f aca="false">IF($A296="","",ROUNDUP($A296/12,0))</f>
        <v>25</v>
      </c>
      <c r="C296" s="15" t="n">
        <f aca="false">IF($A296="","",PARAMETROS!$C$6+INT(($A296-1)/12))</f>
        <v>89</v>
      </c>
      <c r="D296" s="15" t="n">
        <f aca="false">IF($A296="","",MOD($A296-1,12)+1)</f>
        <v>6</v>
      </c>
      <c r="E296" s="16" t="n">
        <f aca="false">IF($A296&gt;PARAMETROS!$C$33,"",P295)</f>
        <v>0</v>
      </c>
      <c r="F296" s="17" t="n">
        <f aca="false">IF($A296&gt;PARAMETROS!$C$33,"",PARAMETROS!$C$38)</f>
        <v>0.00495440818448101</v>
      </c>
      <c r="G296" s="16" t="n">
        <f aca="false">IF($A296&gt;PARAMETROS!$C$33,"",E296*F296)</f>
        <v>0</v>
      </c>
      <c r="H296" s="16" t="n">
        <f aca="false">IF($A296&gt;PARAMETROS!$C$33,"",E296*PARAMETROS!$C$39)</f>
        <v>0</v>
      </c>
      <c r="I296" s="16" t="n">
        <f aca="false">IF($A296&gt;PARAMETROS!$C$33,"",G296-H296)</f>
        <v>0</v>
      </c>
      <c r="J296" s="16" t="n">
        <f aca="false">IF($A296&gt;PARAMETROS!$C$33,"",PARAMETROS!$C$9*(1+PARAMETROS!$C$17)^(B296-1))</f>
        <v>75841.4022891262</v>
      </c>
      <c r="K296" s="16" t="n">
        <f aca="false">IF($A296&gt;PARAMETROS!$C$33,"",K295*(1+PARAMETROS!$C$36))</f>
        <v>69741.6782412534</v>
      </c>
      <c r="L296" s="16" t="n">
        <f aca="false">IF($A296&gt;PARAMETROS!$C$33,"",L295*(1+PARAMETROS!$C$37)*(1+M296))</f>
        <v>31511.7032304654</v>
      </c>
      <c r="M296" s="17" t="n">
        <f aca="false">IF($A296&gt;PARAMETROS!$C$33,"",IF(C296&lt;70,PARAMETROS!$C$40,IF(C296&lt;75,PARAMETROS!$C$41,IF(C296&lt;80,PARAMETROS!$C$42,IF(C296&lt;85,PARAMETROS!$C$43,IF(C296&lt;90,PARAMETROS!$C$44,PARAMETROS!$C$45))))))</f>
        <v>0.00041571484472902</v>
      </c>
      <c r="N296" s="16" t="n">
        <f aca="false">IF($A296&gt;PARAMETROS!$C$33,"",K296+L296)</f>
        <v>101253.381471719</v>
      </c>
      <c r="O296" s="16" t="n">
        <f aca="false">IF($A296&gt;PARAMETROS!$C$33,"",I296+J296-N296)</f>
        <v>-25411.9791825926</v>
      </c>
      <c r="P296" s="16" t="n">
        <f aca="false">IF($A296&gt;PARAMETROS!$C$33,"",MAX(E296+I296+J296-N296,0))</f>
        <v>0</v>
      </c>
      <c r="Q296" s="18" t="str">
        <f aca="false">IF($A296&gt;PARAMETROS!$C$33,"",IF(P296&lt;=0,"AGOTADO","OK"))</f>
        <v>AGOTADO</v>
      </c>
    </row>
    <row r="297" customFormat="false" ht="15" hidden="false" customHeight="false" outlineLevel="0" collapsed="false">
      <c r="A297" s="15" t="n">
        <f aca="false">A296+1</f>
        <v>295</v>
      </c>
      <c r="B297" s="15" t="n">
        <f aca="false">IF($A297="","",ROUNDUP($A297/12,0))</f>
        <v>25</v>
      </c>
      <c r="C297" s="15" t="n">
        <f aca="false">IF($A297="","",PARAMETROS!$C$6+INT(($A297-1)/12))</f>
        <v>89</v>
      </c>
      <c r="D297" s="15" t="n">
        <f aca="false">IF($A297="","",MOD($A297-1,12)+1)</f>
        <v>7</v>
      </c>
      <c r="E297" s="16" t="n">
        <f aca="false">IF($A297&gt;PARAMETROS!$C$33,"",P296)</f>
        <v>0</v>
      </c>
      <c r="F297" s="17" t="n">
        <f aca="false">IF($A297&gt;PARAMETROS!$C$33,"",PARAMETROS!$C$38)</f>
        <v>0.00495440818448101</v>
      </c>
      <c r="G297" s="16" t="n">
        <f aca="false">IF($A297&gt;PARAMETROS!$C$33,"",E297*F297)</f>
        <v>0</v>
      </c>
      <c r="H297" s="16" t="n">
        <f aca="false">IF($A297&gt;PARAMETROS!$C$33,"",E297*PARAMETROS!$C$39)</f>
        <v>0</v>
      </c>
      <c r="I297" s="16" t="n">
        <f aca="false">IF($A297&gt;PARAMETROS!$C$33,"",G297-H297)</f>
        <v>0</v>
      </c>
      <c r="J297" s="16" t="n">
        <f aca="false">IF($A297&gt;PARAMETROS!$C$33,"",PARAMETROS!$C$9*(1+PARAMETROS!$C$17)^(B297-1))</f>
        <v>75841.4022891262</v>
      </c>
      <c r="K297" s="16" t="n">
        <f aca="false">IF($A297&gt;PARAMETROS!$C$33,"",K296*(1+PARAMETROS!$C$36))</f>
        <v>69980.6379215528</v>
      </c>
      <c r="L297" s="16" t="n">
        <f aca="false">IF($A297&gt;PARAMETROS!$C$33,"",L296*(1+PARAMETROS!$C$37)*(1+M297))</f>
        <v>31649.2167945137</v>
      </c>
      <c r="M297" s="17" t="n">
        <f aca="false">IF($A297&gt;PARAMETROS!$C$33,"",IF(C297&lt;70,PARAMETROS!$C$40,IF(C297&lt;75,PARAMETROS!$C$41,IF(C297&lt;80,PARAMETROS!$C$42,IF(C297&lt;85,PARAMETROS!$C$43,IF(C297&lt;90,PARAMETROS!$C$44,PARAMETROS!$C$45))))))</f>
        <v>0.00041571484472902</v>
      </c>
      <c r="N297" s="16" t="n">
        <f aca="false">IF($A297&gt;PARAMETROS!$C$33,"",K297+L297)</f>
        <v>101629.854716067</v>
      </c>
      <c r="O297" s="16" t="n">
        <f aca="false">IF($A297&gt;PARAMETROS!$C$33,"",I297+J297-N297)</f>
        <v>-25788.4524269404</v>
      </c>
      <c r="P297" s="16" t="n">
        <f aca="false">IF($A297&gt;PARAMETROS!$C$33,"",MAX(E297+I297+J297-N297,0))</f>
        <v>0</v>
      </c>
      <c r="Q297" s="18" t="str">
        <f aca="false">IF($A297&gt;PARAMETROS!$C$33,"",IF(P297&lt;=0,"AGOTADO","OK"))</f>
        <v>AGOTADO</v>
      </c>
    </row>
    <row r="298" customFormat="false" ht="15" hidden="false" customHeight="false" outlineLevel="0" collapsed="false">
      <c r="A298" s="15" t="n">
        <f aca="false">A297+1</f>
        <v>296</v>
      </c>
      <c r="B298" s="15" t="n">
        <f aca="false">IF($A298="","",ROUNDUP($A298/12,0))</f>
        <v>25</v>
      </c>
      <c r="C298" s="15" t="n">
        <f aca="false">IF($A298="","",PARAMETROS!$C$6+INT(($A298-1)/12))</f>
        <v>89</v>
      </c>
      <c r="D298" s="15" t="n">
        <f aca="false">IF($A298="","",MOD($A298-1,12)+1)</f>
        <v>8</v>
      </c>
      <c r="E298" s="16" t="n">
        <f aca="false">IF($A298&gt;PARAMETROS!$C$33,"",P297)</f>
        <v>0</v>
      </c>
      <c r="F298" s="17" t="n">
        <f aca="false">IF($A298&gt;PARAMETROS!$C$33,"",PARAMETROS!$C$38)</f>
        <v>0.00495440818448101</v>
      </c>
      <c r="G298" s="16" t="n">
        <f aca="false">IF($A298&gt;PARAMETROS!$C$33,"",E298*F298)</f>
        <v>0</v>
      </c>
      <c r="H298" s="16" t="n">
        <f aca="false">IF($A298&gt;PARAMETROS!$C$33,"",E298*PARAMETROS!$C$39)</f>
        <v>0</v>
      </c>
      <c r="I298" s="16" t="n">
        <f aca="false">IF($A298&gt;PARAMETROS!$C$33,"",G298-H298)</f>
        <v>0</v>
      </c>
      <c r="J298" s="16" t="n">
        <f aca="false">IF($A298&gt;PARAMETROS!$C$33,"",PARAMETROS!$C$9*(1+PARAMETROS!$C$17)^(B298-1))</f>
        <v>75841.4022891262</v>
      </c>
      <c r="K298" s="16" t="n">
        <f aca="false">IF($A298&gt;PARAMETROS!$C$33,"",K297*(1+PARAMETROS!$C$36))</f>
        <v>70220.4163623157</v>
      </c>
      <c r="L298" s="16" t="n">
        <f aca="false">IF($A298&gt;PARAMETROS!$C$33,"",L297*(1+PARAMETROS!$C$37)*(1+M298))</f>
        <v>31787.3304524434</v>
      </c>
      <c r="M298" s="17" t="n">
        <f aca="false">IF($A298&gt;PARAMETROS!$C$33,"",IF(C298&lt;70,PARAMETROS!$C$40,IF(C298&lt;75,PARAMETROS!$C$41,IF(C298&lt;80,PARAMETROS!$C$42,IF(C298&lt;85,PARAMETROS!$C$43,IF(C298&lt;90,PARAMETROS!$C$44,PARAMETROS!$C$45))))))</f>
        <v>0.00041571484472902</v>
      </c>
      <c r="N298" s="16" t="n">
        <f aca="false">IF($A298&gt;PARAMETROS!$C$33,"",K298+L298)</f>
        <v>102007.746814759</v>
      </c>
      <c r="O298" s="16" t="n">
        <f aca="false">IF($A298&gt;PARAMETROS!$C$33,"",I298+J298-N298)</f>
        <v>-26166.344525633</v>
      </c>
      <c r="P298" s="16" t="n">
        <f aca="false">IF($A298&gt;PARAMETROS!$C$33,"",MAX(E298+I298+J298-N298,0))</f>
        <v>0</v>
      </c>
      <c r="Q298" s="18" t="str">
        <f aca="false">IF($A298&gt;PARAMETROS!$C$33,"",IF(P298&lt;=0,"AGOTADO","OK"))</f>
        <v>AGOTADO</v>
      </c>
    </row>
    <row r="299" customFormat="false" ht="15" hidden="false" customHeight="false" outlineLevel="0" collapsed="false">
      <c r="A299" s="15" t="n">
        <f aca="false">A298+1</f>
        <v>297</v>
      </c>
      <c r="B299" s="15" t="n">
        <f aca="false">IF($A299="","",ROUNDUP($A299/12,0))</f>
        <v>25</v>
      </c>
      <c r="C299" s="15" t="n">
        <f aca="false">IF($A299="","",PARAMETROS!$C$6+INT(($A299-1)/12))</f>
        <v>89</v>
      </c>
      <c r="D299" s="15" t="n">
        <f aca="false">IF($A299="","",MOD($A299-1,12)+1)</f>
        <v>9</v>
      </c>
      <c r="E299" s="16" t="n">
        <f aca="false">IF($A299&gt;PARAMETROS!$C$33,"",P298)</f>
        <v>0</v>
      </c>
      <c r="F299" s="17" t="n">
        <f aca="false">IF($A299&gt;PARAMETROS!$C$33,"",PARAMETROS!$C$38)</f>
        <v>0.00495440818448101</v>
      </c>
      <c r="G299" s="16" t="n">
        <f aca="false">IF($A299&gt;PARAMETROS!$C$33,"",E299*F299)</f>
        <v>0</v>
      </c>
      <c r="H299" s="16" t="n">
        <f aca="false">IF($A299&gt;PARAMETROS!$C$33,"",E299*PARAMETROS!$C$39)</f>
        <v>0</v>
      </c>
      <c r="I299" s="16" t="n">
        <f aca="false">IF($A299&gt;PARAMETROS!$C$33,"",G299-H299)</f>
        <v>0</v>
      </c>
      <c r="J299" s="16" t="n">
        <f aca="false">IF($A299&gt;PARAMETROS!$C$33,"",PARAMETROS!$C$9*(1+PARAMETROS!$C$17)^(B299-1))</f>
        <v>75841.4022891262</v>
      </c>
      <c r="K299" s="16" t="n">
        <f aca="false">IF($A299&gt;PARAMETROS!$C$33,"",K298*(1+PARAMETROS!$C$36))</f>
        <v>70461.0163689055</v>
      </c>
      <c r="L299" s="16" t="n">
        <f aca="false">IF($A299&gt;PARAMETROS!$C$33,"",L298*(1+PARAMETROS!$C$37)*(1+M299))</f>
        <v>31926.0468229972</v>
      </c>
      <c r="M299" s="17" t="n">
        <f aca="false">IF($A299&gt;PARAMETROS!$C$33,"",IF(C299&lt;70,PARAMETROS!$C$40,IF(C299&lt;75,PARAMETROS!$C$41,IF(C299&lt;80,PARAMETROS!$C$42,IF(C299&lt;85,PARAMETROS!$C$43,IF(C299&lt;90,PARAMETROS!$C$44,PARAMETROS!$C$45))))))</f>
        <v>0.00041571484472902</v>
      </c>
      <c r="N299" s="16" t="n">
        <f aca="false">IF($A299&gt;PARAMETROS!$C$33,"",K299+L299)</f>
        <v>102387.063191903</v>
      </c>
      <c r="O299" s="16" t="n">
        <f aca="false">IF($A299&gt;PARAMETROS!$C$33,"",I299+J299-N299)</f>
        <v>-26545.6609027766</v>
      </c>
      <c r="P299" s="16" t="n">
        <f aca="false">IF($A299&gt;PARAMETROS!$C$33,"",MAX(E299+I299+J299-N299,0))</f>
        <v>0</v>
      </c>
      <c r="Q299" s="18" t="str">
        <f aca="false">IF($A299&gt;PARAMETROS!$C$33,"",IF(P299&lt;=0,"AGOTADO","OK"))</f>
        <v>AGOTADO</v>
      </c>
    </row>
    <row r="300" customFormat="false" ht="15" hidden="false" customHeight="false" outlineLevel="0" collapsed="false">
      <c r="A300" s="15" t="n">
        <f aca="false">A299+1</f>
        <v>298</v>
      </c>
      <c r="B300" s="15" t="n">
        <f aca="false">IF($A300="","",ROUNDUP($A300/12,0))</f>
        <v>25</v>
      </c>
      <c r="C300" s="15" t="n">
        <f aca="false">IF($A300="","",PARAMETROS!$C$6+INT(($A300-1)/12))</f>
        <v>89</v>
      </c>
      <c r="D300" s="15" t="n">
        <f aca="false">IF($A300="","",MOD($A300-1,12)+1)</f>
        <v>10</v>
      </c>
      <c r="E300" s="16" t="n">
        <f aca="false">IF($A300&gt;PARAMETROS!$C$33,"",P299)</f>
        <v>0</v>
      </c>
      <c r="F300" s="17" t="n">
        <f aca="false">IF($A300&gt;PARAMETROS!$C$33,"",PARAMETROS!$C$38)</f>
        <v>0.00495440818448101</v>
      </c>
      <c r="G300" s="16" t="n">
        <f aca="false">IF($A300&gt;PARAMETROS!$C$33,"",E300*F300)</f>
        <v>0</v>
      </c>
      <c r="H300" s="16" t="n">
        <f aca="false">IF($A300&gt;PARAMETROS!$C$33,"",E300*PARAMETROS!$C$39)</f>
        <v>0</v>
      </c>
      <c r="I300" s="16" t="n">
        <f aca="false">IF($A300&gt;PARAMETROS!$C$33,"",G300-H300)</f>
        <v>0</v>
      </c>
      <c r="J300" s="16" t="n">
        <f aca="false">IF($A300&gt;PARAMETROS!$C$33,"",PARAMETROS!$C$9*(1+PARAMETROS!$C$17)^(B300-1))</f>
        <v>75841.4022891262</v>
      </c>
      <c r="K300" s="16" t="n">
        <f aca="false">IF($A300&gt;PARAMETROS!$C$33,"",K299*(1+PARAMETROS!$C$36))</f>
        <v>70702.4407562975</v>
      </c>
      <c r="L300" s="16" t="n">
        <f aca="false">IF($A300&gt;PARAMETROS!$C$33,"",L299*(1+PARAMETROS!$C$37)*(1+M300))</f>
        <v>32065.368536346</v>
      </c>
      <c r="M300" s="17" t="n">
        <f aca="false">IF($A300&gt;PARAMETROS!$C$33,"",IF(C300&lt;70,PARAMETROS!$C$40,IF(C300&lt;75,PARAMETROS!$C$41,IF(C300&lt;80,PARAMETROS!$C$42,IF(C300&lt;85,PARAMETROS!$C$43,IF(C300&lt;90,PARAMETROS!$C$44,PARAMETROS!$C$45))))))</f>
        <v>0.00041571484472902</v>
      </c>
      <c r="N300" s="16" t="n">
        <f aca="false">IF($A300&gt;PARAMETROS!$C$33,"",K300+L300)</f>
        <v>102767.809292643</v>
      </c>
      <c r="O300" s="16" t="n">
        <f aca="false">IF($A300&gt;PARAMETROS!$C$33,"",I300+J300-N300)</f>
        <v>-26926.4070035173</v>
      </c>
      <c r="P300" s="16" t="n">
        <f aca="false">IF($A300&gt;PARAMETROS!$C$33,"",MAX(E300+I300+J300-N300,0))</f>
        <v>0</v>
      </c>
      <c r="Q300" s="18" t="str">
        <f aca="false">IF($A300&gt;PARAMETROS!$C$33,"",IF(P300&lt;=0,"AGOTADO","OK"))</f>
        <v>AGOTADO</v>
      </c>
    </row>
    <row r="301" customFormat="false" ht="15" hidden="false" customHeight="false" outlineLevel="0" collapsed="false">
      <c r="A301" s="15" t="n">
        <f aca="false">A300+1</f>
        <v>299</v>
      </c>
      <c r="B301" s="15" t="n">
        <f aca="false">IF($A301="","",ROUNDUP($A301/12,0))</f>
        <v>25</v>
      </c>
      <c r="C301" s="15" t="n">
        <f aca="false">IF($A301="","",PARAMETROS!$C$6+INT(($A301-1)/12))</f>
        <v>89</v>
      </c>
      <c r="D301" s="15" t="n">
        <f aca="false">IF($A301="","",MOD($A301-1,12)+1)</f>
        <v>11</v>
      </c>
      <c r="E301" s="16" t="n">
        <f aca="false">IF($A301&gt;PARAMETROS!$C$33,"",P300)</f>
        <v>0</v>
      </c>
      <c r="F301" s="17" t="n">
        <f aca="false">IF($A301&gt;PARAMETROS!$C$33,"",PARAMETROS!$C$38)</f>
        <v>0.00495440818448101</v>
      </c>
      <c r="G301" s="16" t="n">
        <f aca="false">IF($A301&gt;PARAMETROS!$C$33,"",E301*F301)</f>
        <v>0</v>
      </c>
      <c r="H301" s="16" t="n">
        <f aca="false">IF($A301&gt;PARAMETROS!$C$33,"",E301*PARAMETROS!$C$39)</f>
        <v>0</v>
      </c>
      <c r="I301" s="16" t="n">
        <f aca="false">IF($A301&gt;PARAMETROS!$C$33,"",G301-H301)</f>
        <v>0</v>
      </c>
      <c r="J301" s="16" t="n">
        <f aca="false">IF($A301&gt;PARAMETROS!$C$33,"",PARAMETROS!$C$9*(1+PARAMETROS!$C$17)^(B301-1))</f>
        <v>75841.4022891262</v>
      </c>
      <c r="K301" s="16" t="n">
        <f aca="false">IF($A301&gt;PARAMETROS!$C$33,"",K300*(1+PARAMETROS!$C$36))</f>
        <v>70944.6923491121</v>
      </c>
      <c r="L301" s="16" t="n">
        <f aca="false">IF($A301&gt;PARAMETROS!$C$33,"",L300*(1+PARAMETROS!$C$37)*(1+M301))</f>
        <v>32205.2982341382</v>
      </c>
      <c r="M301" s="17" t="n">
        <f aca="false">IF($A301&gt;PARAMETROS!$C$33,"",IF(C301&lt;70,PARAMETROS!$C$40,IF(C301&lt;75,PARAMETROS!$C$41,IF(C301&lt;80,PARAMETROS!$C$42,IF(C301&lt;85,PARAMETROS!$C$43,IF(C301&lt;90,PARAMETROS!$C$44,PARAMETROS!$C$45))))))</f>
        <v>0.00041571484472902</v>
      </c>
      <c r="N301" s="16" t="n">
        <f aca="false">IF($A301&gt;PARAMETROS!$C$33,"",K301+L301)</f>
        <v>103149.99058325</v>
      </c>
      <c r="O301" s="16" t="n">
        <f aca="false">IF($A301&gt;PARAMETROS!$C$33,"",I301+J301-N301)</f>
        <v>-27308.5882941242</v>
      </c>
      <c r="P301" s="16" t="n">
        <f aca="false">IF($A301&gt;PARAMETROS!$C$33,"",MAX(E301+I301+J301-N301,0))</f>
        <v>0</v>
      </c>
      <c r="Q301" s="18" t="str">
        <f aca="false">IF($A301&gt;PARAMETROS!$C$33,"",IF(P301&lt;=0,"AGOTADO","OK"))</f>
        <v>AGOTADO</v>
      </c>
    </row>
    <row r="302" customFormat="false" ht="15" hidden="false" customHeight="false" outlineLevel="0" collapsed="false">
      <c r="A302" s="15" t="n">
        <f aca="false">A301+1</f>
        <v>300</v>
      </c>
      <c r="B302" s="15" t="n">
        <f aca="false">IF($A302="","",ROUNDUP($A302/12,0))</f>
        <v>25</v>
      </c>
      <c r="C302" s="15" t="n">
        <f aca="false">IF($A302="","",PARAMETROS!$C$6+INT(($A302-1)/12))</f>
        <v>89</v>
      </c>
      <c r="D302" s="15" t="n">
        <f aca="false">IF($A302="","",MOD($A302-1,12)+1)</f>
        <v>12</v>
      </c>
      <c r="E302" s="16" t="n">
        <f aca="false">IF($A302&gt;PARAMETROS!$C$33,"",P301)</f>
        <v>0</v>
      </c>
      <c r="F302" s="17" t="n">
        <f aca="false">IF($A302&gt;PARAMETROS!$C$33,"",PARAMETROS!$C$38)</f>
        <v>0.00495440818448101</v>
      </c>
      <c r="G302" s="16" t="n">
        <f aca="false">IF($A302&gt;PARAMETROS!$C$33,"",E302*F302)</f>
        <v>0</v>
      </c>
      <c r="H302" s="16" t="n">
        <f aca="false">IF($A302&gt;PARAMETROS!$C$33,"",E302*PARAMETROS!$C$39)</f>
        <v>0</v>
      </c>
      <c r="I302" s="16" t="n">
        <f aca="false">IF($A302&gt;PARAMETROS!$C$33,"",G302-H302)</f>
        <v>0</v>
      </c>
      <c r="J302" s="16" t="n">
        <f aca="false">IF($A302&gt;PARAMETROS!$C$33,"",PARAMETROS!$C$9*(1+PARAMETROS!$C$17)^(B302-1))</f>
        <v>75841.4022891262</v>
      </c>
      <c r="K302" s="16" t="n">
        <f aca="false">IF($A302&gt;PARAMETROS!$C$33,"",K301*(1+PARAMETROS!$C$36))</f>
        <v>71187.773981648</v>
      </c>
      <c r="L302" s="16" t="n">
        <f aca="false">IF($A302&gt;PARAMETROS!$C$33,"",L301*(1+PARAMETROS!$C$37)*(1+M302))</f>
        <v>32345.8385695504</v>
      </c>
      <c r="M302" s="17" t="n">
        <f aca="false">IF($A302&gt;PARAMETROS!$C$33,"",IF(C302&lt;70,PARAMETROS!$C$40,IF(C302&lt;75,PARAMETROS!$C$41,IF(C302&lt;80,PARAMETROS!$C$42,IF(C302&lt;85,PARAMETROS!$C$43,IF(C302&lt;90,PARAMETROS!$C$44,PARAMETROS!$C$45))))))</f>
        <v>0.00041571484472902</v>
      </c>
      <c r="N302" s="16" t="n">
        <f aca="false">IF($A302&gt;PARAMETROS!$C$33,"",K302+L302)</f>
        <v>103533.612551198</v>
      </c>
      <c r="O302" s="16" t="n">
        <f aca="false">IF($A302&gt;PARAMETROS!$C$33,"",I302+J302-N302)</f>
        <v>-27692.2102620722</v>
      </c>
      <c r="P302" s="16" t="n">
        <f aca="false">IF($A302&gt;PARAMETROS!$C$33,"",MAX(E302+I302+J302-N302,0))</f>
        <v>0</v>
      </c>
      <c r="Q302" s="18" t="str">
        <f aca="false">IF($A302&gt;PARAMETROS!$C$33,"",IF(P302&lt;=0,"AGOTADO","OK"))</f>
        <v>AGOTADO</v>
      </c>
    </row>
    <row r="303" customFormat="false" ht="15" hidden="false" customHeight="false" outlineLevel="0" collapsed="false">
      <c r="A303" s="19" t="n">
        <f aca="false">A302+1</f>
        <v>301</v>
      </c>
      <c r="B303" s="19" t="n">
        <f aca="false">IF($A303="","",ROUNDUP($A303/12,0))</f>
        <v>26</v>
      </c>
      <c r="C303" s="19" t="n">
        <f aca="false">IF($A303="","",PARAMETROS!$C$6+INT(($A303-1)/12))</f>
        <v>90</v>
      </c>
      <c r="D303" s="19" t="n">
        <f aca="false">IF($A303="","",MOD($A303-1,12)+1)</f>
        <v>1</v>
      </c>
      <c r="E303" s="20" t="n">
        <f aca="false">IF($A303&gt;PARAMETROS!$C$33,"",P302)</f>
        <v>0</v>
      </c>
      <c r="F303" s="21" t="n">
        <f aca="false">IF($A303&gt;PARAMETROS!$C$33,"",PARAMETROS!$C$38)</f>
        <v>0.00495440818448101</v>
      </c>
      <c r="G303" s="20" t="n">
        <f aca="false">IF($A303&gt;PARAMETROS!$C$33,"",E303*F303)</f>
        <v>0</v>
      </c>
      <c r="H303" s="20" t="n">
        <f aca="false">IF($A303&gt;PARAMETROS!$C$33,"",E303*PARAMETROS!$C$39)</f>
        <v>0</v>
      </c>
      <c r="I303" s="20" t="n">
        <f aca="false">IF($A303&gt;PARAMETROS!$C$33,"",G303-H303)</f>
        <v>0</v>
      </c>
      <c r="J303" s="20" t="n">
        <f aca="false">IF($A303&gt;PARAMETROS!$C$33,"",PARAMETROS!$C$9*(1+PARAMETROS!$C$17)^(B303-1))</f>
        <v>78829.5535393178</v>
      </c>
      <c r="K303" s="20" t="n">
        <f aca="false">IF($A303&gt;PARAMETROS!$C$33,"",K302*(1+PARAMETROS!$C$36))</f>
        <v>71431.6884979152</v>
      </c>
      <c r="L303" s="20" t="n">
        <f aca="false">IF($A303&gt;PARAMETROS!$C$33,"",L302*(1+PARAMETROS!$C$37)*(1+M303))</f>
        <v>32473.4924944469</v>
      </c>
      <c r="M303" s="21" t="n">
        <f aca="false">IF($A303&gt;PARAMETROS!$C$33,"",IF(C303&lt;70,PARAMETROS!$C$40,IF(C303&lt;75,PARAMETROS!$C$41,IF(C303&lt;80,PARAMETROS!$C$42,IF(C303&lt;85,PARAMETROS!$C$43,IF(C303&lt;90,PARAMETROS!$C$44,PARAMETROS!$C$45))))))</f>
        <v>0</v>
      </c>
      <c r="N303" s="20" t="n">
        <f aca="false">IF($A303&gt;PARAMETROS!$C$33,"",K303+L303)</f>
        <v>103905.180992362</v>
      </c>
      <c r="O303" s="20" t="n">
        <f aca="false">IF($A303&gt;PARAMETROS!$C$33,"",I303+J303-N303)</f>
        <v>-25075.6274530443</v>
      </c>
      <c r="P303" s="20" t="n">
        <f aca="false">IF($A303&gt;PARAMETROS!$C$33,"",MAX(E303+I303+J303-N303,0))</f>
        <v>0</v>
      </c>
      <c r="Q303" s="22" t="str">
        <f aca="false">IF($A303&gt;PARAMETROS!$C$33,"",IF(P303&lt;=0,"AGOTADO","OK"))</f>
        <v>AGOTADO</v>
      </c>
    </row>
    <row r="304" customFormat="false" ht="15" hidden="false" customHeight="false" outlineLevel="0" collapsed="false">
      <c r="A304" s="19" t="n">
        <f aca="false">A303+1</f>
        <v>302</v>
      </c>
      <c r="B304" s="19" t="n">
        <f aca="false">IF($A304="","",ROUNDUP($A304/12,0))</f>
        <v>26</v>
      </c>
      <c r="C304" s="19" t="n">
        <f aca="false">IF($A304="","",PARAMETROS!$C$6+INT(($A304-1)/12))</f>
        <v>90</v>
      </c>
      <c r="D304" s="19" t="n">
        <f aca="false">IF($A304="","",MOD($A304-1,12)+1)</f>
        <v>2</v>
      </c>
      <c r="E304" s="20" t="n">
        <f aca="false">IF($A304&gt;PARAMETROS!$C$33,"",P303)</f>
        <v>0</v>
      </c>
      <c r="F304" s="21" t="n">
        <f aca="false">IF($A304&gt;PARAMETROS!$C$33,"",PARAMETROS!$C$38)</f>
        <v>0.00495440818448101</v>
      </c>
      <c r="G304" s="20" t="n">
        <f aca="false">IF($A304&gt;PARAMETROS!$C$33,"",E304*F304)</f>
        <v>0</v>
      </c>
      <c r="H304" s="20" t="n">
        <f aca="false">IF($A304&gt;PARAMETROS!$C$33,"",E304*PARAMETROS!$C$39)</f>
        <v>0</v>
      </c>
      <c r="I304" s="20" t="n">
        <f aca="false">IF($A304&gt;PARAMETROS!$C$33,"",G304-H304)</f>
        <v>0</v>
      </c>
      <c r="J304" s="20" t="n">
        <f aca="false">IF($A304&gt;PARAMETROS!$C$33,"",PARAMETROS!$C$9*(1+PARAMETROS!$C$17)^(B304-1))</f>
        <v>78829.5535393178</v>
      </c>
      <c r="K304" s="20" t="n">
        <f aca="false">IF($A304&gt;PARAMETROS!$C$33,"",K303*(1+PARAMETROS!$C$36))</f>
        <v>71676.4387516682</v>
      </c>
      <c r="L304" s="20" t="n">
        <f aca="false">IF($A304&gt;PARAMETROS!$C$33,"",L303*(1+PARAMETROS!$C$37)*(1+M304))</f>
        <v>32601.6502097925</v>
      </c>
      <c r="M304" s="21" t="n">
        <f aca="false">IF($A304&gt;PARAMETROS!$C$33,"",IF(C304&lt;70,PARAMETROS!$C$40,IF(C304&lt;75,PARAMETROS!$C$41,IF(C304&lt;80,PARAMETROS!$C$42,IF(C304&lt;85,PARAMETROS!$C$43,IF(C304&lt;90,PARAMETROS!$C$44,PARAMETROS!$C$45))))))</f>
        <v>0</v>
      </c>
      <c r="N304" s="20" t="n">
        <f aca="false">IF($A304&gt;PARAMETROS!$C$33,"",K304+L304)</f>
        <v>104278.088961461</v>
      </c>
      <c r="O304" s="20" t="n">
        <f aca="false">IF($A304&gt;PARAMETROS!$C$33,"",I304+J304-N304)</f>
        <v>-25448.535422143</v>
      </c>
      <c r="P304" s="20" t="n">
        <f aca="false">IF($A304&gt;PARAMETROS!$C$33,"",MAX(E304+I304+J304-N304,0))</f>
        <v>0</v>
      </c>
      <c r="Q304" s="22" t="str">
        <f aca="false">IF($A304&gt;PARAMETROS!$C$33,"",IF(P304&lt;=0,"AGOTADO","OK"))</f>
        <v>AGOTADO</v>
      </c>
    </row>
    <row r="305" customFormat="false" ht="15" hidden="false" customHeight="false" outlineLevel="0" collapsed="false">
      <c r="A305" s="19" t="n">
        <f aca="false">A304+1</f>
        <v>303</v>
      </c>
      <c r="B305" s="19" t="n">
        <f aca="false">IF($A305="","",ROUNDUP($A305/12,0))</f>
        <v>26</v>
      </c>
      <c r="C305" s="19" t="n">
        <f aca="false">IF($A305="","",PARAMETROS!$C$6+INT(($A305-1)/12))</f>
        <v>90</v>
      </c>
      <c r="D305" s="19" t="n">
        <f aca="false">IF($A305="","",MOD($A305-1,12)+1)</f>
        <v>3</v>
      </c>
      <c r="E305" s="20" t="n">
        <f aca="false">IF($A305&gt;PARAMETROS!$C$33,"",P304)</f>
        <v>0</v>
      </c>
      <c r="F305" s="21" t="n">
        <f aca="false">IF($A305&gt;PARAMETROS!$C$33,"",PARAMETROS!$C$38)</f>
        <v>0.00495440818448101</v>
      </c>
      <c r="G305" s="20" t="n">
        <f aca="false">IF($A305&gt;PARAMETROS!$C$33,"",E305*F305)</f>
        <v>0</v>
      </c>
      <c r="H305" s="20" t="n">
        <f aca="false">IF($A305&gt;PARAMETROS!$C$33,"",E305*PARAMETROS!$C$39)</f>
        <v>0</v>
      </c>
      <c r="I305" s="20" t="n">
        <f aca="false">IF($A305&gt;PARAMETROS!$C$33,"",G305-H305)</f>
        <v>0</v>
      </c>
      <c r="J305" s="20" t="n">
        <f aca="false">IF($A305&gt;PARAMETROS!$C$33,"",PARAMETROS!$C$9*(1+PARAMETROS!$C$17)^(B305-1))</f>
        <v>78829.5535393178</v>
      </c>
      <c r="K305" s="20" t="n">
        <f aca="false">IF($A305&gt;PARAMETROS!$C$33,"",K304*(1+PARAMETROS!$C$36))</f>
        <v>71922.0276064395</v>
      </c>
      <c r="L305" s="20" t="n">
        <f aca="false">IF($A305&gt;PARAMETROS!$C$33,"",L304*(1+PARAMETROS!$C$37)*(1+M305))</f>
        <v>32730.3137038131</v>
      </c>
      <c r="M305" s="21" t="n">
        <f aca="false">IF($A305&gt;PARAMETROS!$C$33,"",IF(C305&lt;70,PARAMETROS!$C$40,IF(C305&lt;75,PARAMETROS!$C$41,IF(C305&lt;80,PARAMETROS!$C$42,IF(C305&lt;85,PARAMETROS!$C$43,IF(C305&lt;90,PARAMETROS!$C$44,PARAMETROS!$C$45))))))</f>
        <v>0</v>
      </c>
      <c r="N305" s="20" t="n">
        <f aca="false">IF($A305&gt;PARAMETROS!$C$33,"",K305+L305)</f>
        <v>104652.341310253</v>
      </c>
      <c r="O305" s="20" t="n">
        <f aca="false">IF($A305&gt;PARAMETROS!$C$33,"",I305+J305-N305)</f>
        <v>-25822.7877709348</v>
      </c>
      <c r="P305" s="20" t="n">
        <f aca="false">IF($A305&gt;PARAMETROS!$C$33,"",MAX(E305+I305+J305-N305,0))</f>
        <v>0</v>
      </c>
      <c r="Q305" s="22" t="str">
        <f aca="false">IF($A305&gt;PARAMETROS!$C$33,"",IF(P305&lt;=0,"AGOTADO","OK"))</f>
        <v>AGOTADO</v>
      </c>
    </row>
    <row r="306" customFormat="false" ht="15" hidden="false" customHeight="false" outlineLevel="0" collapsed="false">
      <c r="A306" s="19" t="n">
        <f aca="false">A305+1</f>
        <v>304</v>
      </c>
      <c r="B306" s="19" t="n">
        <f aca="false">IF($A306="","",ROUNDUP($A306/12,0))</f>
        <v>26</v>
      </c>
      <c r="C306" s="19" t="n">
        <f aca="false">IF($A306="","",PARAMETROS!$C$6+INT(($A306-1)/12))</f>
        <v>90</v>
      </c>
      <c r="D306" s="19" t="n">
        <f aca="false">IF($A306="","",MOD($A306-1,12)+1)</f>
        <v>4</v>
      </c>
      <c r="E306" s="20" t="n">
        <f aca="false">IF($A306&gt;PARAMETROS!$C$33,"",P305)</f>
        <v>0</v>
      </c>
      <c r="F306" s="21" t="n">
        <f aca="false">IF($A306&gt;PARAMETROS!$C$33,"",PARAMETROS!$C$38)</f>
        <v>0.00495440818448101</v>
      </c>
      <c r="G306" s="20" t="n">
        <f aca="false">IF($A306&gt;PARAMETROS!$C$33,"",E306*F306)</f>
        <v>0</v>
      </c>
      <c r="H306" s="20" t="n">
        <f aca="false">IF($A306&gt;PARAMETROS!$C$33,"",E306*PARAMETROS!$C$39)</f>
        <v>0</v>
      </c>
      <c r="I306" s="20" t="n">
        <f aca="false">IF($A306&gt;PARAMETROS!$C$33,"",G306-H306)</f>
        <v>0</v>
      </c>
      <c r="J306" s="20" t="n">
        <f aca="false">IF($A306&gt;PARAMETROS!$C$33,"",PARAMETROS!$C$9*(1+PARAMETROS!$C$17)^(B306-1))</f>
        <v>78829.5535393178</v>
      </c>
      <c r="K306" s="20" t="n">
        <f aca="false">IF($A306&gt;PARAMETROS!$C$33,"",K305*(1+PARAMETROS!$C$36))</f>
        <v>72168.457935573</v>
      </c>
      <c r="L306" s="20" t="n">
        <f aca="false">IF($A306&gt;PARAMETROS!$C$33,"",L305*(1+PARAMETROS!$C$37)*(1+M306))</f>
        <v>32859.4849725808</v>
      </c>
      <c r="M306" s="21" t="n">
        <f aca="false">IF($A306&gt;PARAMETROS!$C$33,"",IF(C306&lt;70,PARAMETROS!$C$40,IF(C306&lt;75,PARAMETROS!$C$41,IF(C306&lt;80,PARAMETROS!$C$42,IF(C306&lt;85,PARAMETROS!$C$43,IF(C306&lt;90,PARAMETROS!$C$44,PARAMETROS!$C$45))))))</f>
        <v>0</v>
      </c>
      <c r="N306" s="20" t="n">
        <f aca="false">IF($A306&gt;PARAMETROS!$C$33,"",K306+L306)</f>
        <v>105027.942908154</v>
      </c>
      <c r="O306" s="20" t="n">
        <f aca="false">IF($A306&gt;PARAMETROS!$C$33,"",I306+J306-N306)</f>
        <v>-26198.389368836</v>
      </c>
      <c r="P306" s="20" t="n">
        <f aca="false">IF($A306&gt;PARAMETROS!$C$33,"",MAX(E306+I306+J306-N306,0))</f>
        <v>0</v>
      </c>
      <c r="Q306" s="22" t="str">
        <f aca="false">IF($A306&gt;PARAMETROS!$C$33,"",IF(P306&lt;=0,"AGOTADO","OK"))</f>
        <v>AGOTADO</v>
      </c>
    </row>
    <row r="307" customFormat="false" ht="15" hidden="false" customHeight="false" outlineLevel="0" collapsed="false">
      <c r="A307" s="19" t="n">
        <f aca="false">A306+1</f>
        <v>305</v>
      </c>
      <c r="B307" s="19" t="n">
        <f aca="false">IF($A307="","",ROUNDUP($A307/12,0))</f>
        <v>26</v>
      </c>
      <c r="C307" s="19" t="n">
        <f aca="false">IF($A307="","",PARAMETROS!$C$6+INT(($A307-1)/12))</f>
        <v>90</v>
      </c>
      <c r="D307" s="19" t="n">
        <f aca="false">IF($A307="","",MOD($A307-1,12)+1)</f>
        <v>5</v>
      </c>
      <c r="E307" s="20" t="n">
        <f aca="false">IF($A307&gt;PARAMETROS!$C$33,"",P306)</f>
        <v>0</v>
      </c>
      <c r="F307" s="21" t="n">
        <f aca="false">IF($A307&gt;PARAMETROS!$C$33,"",PARAMETROS!$C$38)</f>
        <v>0.00495440818448101</v>
      </c>
      <c r="G307" s="20" t="n">
        <f aca="false">IF($A307&gt;PARAMETROS!$C$33,"",E307*F307)</f>
        <v>0</v>
      </c>
      <c r="H307" s="20" t="n">
        <f aca="false">IF($A307&gt;PARAMETROS!$C$33,"",E307*PARAMETROS!$C$39)</f>
        <v>0</v>
      </c>
      <c r="I307" s="20" t="n">
        <f aca="false">IF($A307&gt;PARAMETROS!$C$33,"",G307-H307)</f>
        <v>0</v>
      </c>
      <c r="J307" s="20" t="n">
        <f aca="false">IF($A307&gt;PARAMETROS!$C$33,"",PARAMETROS!$C$9*(1+PARAMETROS!$C$17)^(B307-1))</f>
        <v>78829.5535393178</v>
      </c>
      <c r="K307" s="20" t="n">
        <f aca="false">IF($A307&gt;PARAMETROS!$C$33,"",K306*(1+PARAMETROS!$C$36))</f>
        <v>72415.7326222578</v>
      </c>
      <c r="L307" s="20" t="n">
        <f aca="false">IF($A307&gt;PARAMETROS!$C$33,"",L306*(1+PARAMETROS!$C$37)*(1+M307))</f>
        <v>32989.1660200456</v>
      </c>
      <c r="M307" s="21" t="n">
        <f aca="false">IF($A307&gt;PARAMETROS!$C$33,"",IF(C307&lt;70,PARAMETROS!$C$40,IF(C307&lt;75,PARAMETROS!$C$41,IF(C307&lt;80,PARAMETROS!$C$42,IF(C307&lt;85,PARAMETROS!$C$43,IF(C307&lt;90,PARAMETROS!$C$44,PARAMETROS!$C$45))))))</f>
        <v>0</v>
      </c>
      <c r="N307" s="20" t="n">
        <f aca="false">IF($A307&gt;PARAMETROS!$C$33,"",K307+L307)</f>
        <v>105404.898642303</v>
      </c>
      <c r="O307" s="20" t="n">
        <f aca="false">IF($A307&gt;PARAMETROS!$C$33,"",I307+J307-N307)</f>
        <v>-26575.3451029857</v>
      </c>
      <c r="P307" s="20" t="n">
        <f aca="false">IF($A307&gt;PARAMETROS!$C$33,"",MAX(E307+I307+J307-N307,0))</f>
        <v>0</v>
      </c>
      <c r="Q307" s="22" t="str">
        <f aca="false">IF($A307&gt;PARAMETROS!$C$33,"",IF(P307&lt;=0,"AGOTADO","OK"))</f>
        <v>AGOTADO</v>
      </c>
    </row>
    <row r="308" customFormat="false" ht="15" hidden="false" customHeight="false" outlineLevel="0" collapsed="false">
      <c r="A308" s="19" t="n">
        <f aca="false">A307+1</f>
        <v>306</v>
      </c>
      <c r="B308" s="19" t="n">
        <f aca="false">IF($A308="","",ROUNDUP($A308/12,0))</f>
        <v>26</v>
      </c>
      <c r="C308" s="19" t="n">
        <f aca="false">IF($A308="","",PARAMETROS!$C$6+INT(($A308-1)/12))</f>
        <v>90</v>
      </c>
      <c r="D308" s="19" t="n">
        <f aca="false">IF($A308="","",MOD($A308-1,12)+1)</f>
        <v>6</v>
      </c>
      <c r="E308" s="20" t="n">
        <f aca="false">IF($A308&gt;PARAMETROS!$C$33,"",P307)</f>
        <v>0</v>
      </c>
      <c r="F308" s="21" t="n">
        <f aca="false">IF($A308&gt;PARAMETROS!$C$33,"",PARAMETROS!$C$38)</f>
        <v>0.00495440818448101</v>
      </c>
      <c r="G308" s="20" t="n">
        <f aca="false">IF($A308&gt;PARAMETROS!$C$33,"",E308*F308)</f>
        <v>0</v>
      </c>
      <c r="H308" s="20" t="n">
        <f aca="false">IF($A308&gt;PARAMETROS!$C$33,"",E308*PARAMETROS!$C$39)</f>
        <v>0</v>
      </c>
      <c r="I308" s="20" t="n">
        <f aca="false">IF($A308&gt;PARAMETROS!$C$33,"",G308-H308)</f>
        <v>0</v>
      </c>
      <c r="J308" s="20" t="n">
        <f aca="false">IF($A308&gt;PARAMETROS!$C$33,"",PARAMETROS!$C$9*(1+PARAMETROS!$C$17)^(B308-1))</f>
        <v>78829.5535393178</v>
      </c>
      <c r="K308" s="20" t="n">
        <f aca="false">IF($A308&gt;PARAMETROS!$C$33,"",K307*(1+PARAMETROS!$C$36))</f>
        <v>72663.8545595619</v>
      </c>
      <c r="L308" s="20" t="n">
        <f aca="false">IF($A308&gt;PARAMETROS!$C$33,"",L307*(1+PARAMETROS!$C$37)*(1+M308))</f>
        <v>33119.358858066</v>
      </c>
      <c r="M308" s="21" t="n">
        <f aca="false">IF($A308&gt;PARAMETROS!$C$33,"",IF(C308&lt;70,PARAMETROS!$C$40,IF(C308&lt;75,PARAMETROS!$C$41,IF(C308&lt;80,PARAMETROS!$C$42,IF(C308&lt;85,PARAMETROS!$C$43,IF(C308&lt;90,PARAMETROS!$C$44,PARAMETROS!$C$45))))))</f>
        <v>0</v>
      </c>
      <c r="N308" s="20" t="n">
        <f aca="false">IF($A308&gt;PARAMETROS!$C$33,"",K308+L308)</f>
        <v>105783.213417628</v>
      </c>
      <c r="O308" s="20" t="n">
        <f aca="false">IF($A308&gt;PARAMETROS!$C$33,"",I308+J308-N308)</f>
        <v>-26953.6598783102</v>
      </c>
      <c r="P308" s="20" t="n">
        <f aca="false">IF($A308&gt;PARAMETROS!$C$33,"",MAX(E308+I308+J308-N308,0))</f>
        <v>0</v>
      </c>
      <c r="Q308" s="22" t="str">
        <f aca="false">IF($A308&gt;PARAMETROS!$C$33,"",IF(P308&lt;=0,"AGOTADO","OK"))</f>
        <v>AGOTADO</v>
      </c>
    </row>
    <row r="309" customFormat="false" ht="15" hidden="false" customHeight="false" outlineLevel="0" collapsed="false">
      <c r="A309" s="19" t="n">
        <f aca="false">A308+1</f>
        <v>307</v>
      </c>
      <c r="B309" s="19" t="n">
        <f aca="false">IF($A309="","",ROUNDUP($A309/12,0))</f>
        <v>26</v>
      </c>
      <c r="C309" s="19" t="n">
        <f aca="false">IF($A309="","",PARAMETROS!$C$6+INT(($A309-1)/12))</f>
        <v>90</v>
      </c>
      <c r="D309" s="19" t="n">
        <f aca="false">IF($A309="","",MOD($A309-1,12)+1)</f>
        <v>7</v>
      </c>
      <c r="E309" s="20" t="n">
        <f aca="false">IF($A309&gt;PARAMETROS!$C$33,"",P308)</f>
        <v>0</v>
      </c>
      <c r="F309" s="21" t="n">
        <f aca="false">IF($A309&gt;PARAMETROS!$C$33,"",PARAMETROS!$C$38)</f>
        <v>0.00495440818448101</v>
      </c>
      <c r="G309" s="20" t="n">
        <f aca="false">IF($A309&gt;PARAMETROS!$C$33,"",E309*F309)</f>
        <v>0</v>
      </c>
      <c r="H309" s="20" t="n">
        <f aca="false">IF($A309&gt;PARAMETROS!$C$33,"",E309*PARAMETROS!$C$39)</f>
        <v>0</v>
      </c>
      <c r="I309" s="20" t="n">
        <f aca="false">IF($A309&gt;PARAMETROS!$C$33,"",G309-H309)</f>
        <v>0</v>
      </c>
      <c r="J309" s="20" t="n">
        <f aca="false">IF($A309&gt;PARAMETROS!$C$33,"",PARAMETROS!$C$9*(1+PARAMETROS!$C$17)^(B309-1))</f>
        <v>78829.5535393178</v>
      </c>
      <c r="K309" s="20" t="n">
        <f aca="false">IF($A309&gt;PARAMETROS!$C$33,"",K308*(1+PARAMETROS!$C$36))</f>
        <v>72912.8266504658</v>
      </c>
      <c r="L309" s="20" t="n">
        <f aca="false">IF($A309&gt;PARAMETROS!$C$33,"",L308*(1+PARAMETROS!$C$37)*(1+M309))</f>
        <v>33250.0655064405</v>
      </c>
      <c r="M309" s="21" t="n">
        <f aca="false">IF($A309&gt;PARAMETROS!$C$33,"",IF(C309&lt;70,PARAMETROS!$C$40,IF(C309&lt;75,PARAMETROS!$C$41,IF(C309&lt;80,PARAMETROS!$C$42,IF(C309&lt;85,PARAMETROS!$C$43,IF(C309&lt;90,PARAMETROS!$C$44,PARAMETROS!$C$45))))))</f>
        <v>0</v>
      </c>
      <c r="N309" s="20" t="n">
        <f aca="false">IF($A309&gt;PARAMETROS!$C$33,"",K309+L309)</f>
        <v>106162.892156906</v>
      </c>
      <c r="O309" s="20" t="n">
        <f aca="false">IF($A309&gt;PARAMETROS!$C$33,"",I309+J309-N309)</f>
        <v>-27333.3386175886</v>
      </c>
      <c r="P309" s="20" t="n">
        <f aca="false">IF($A309&gt;PARAMETROS!$C$33,"",MAX(E309+I309+J309-N309,0))</f>
        <v>0</v>
      </c>
      <c r="Q309" s="22" t="str">
        <f aca="false">IF($A309&gt;PARAMETROS!$C$33,"",IF(P309&lt;=0,"AGOTADO","OK"))</f>
        <v>AGOTADO</v>
      </c>
    </row>
    <row r="310" customFormat="false" ht="15" hidden="false" customHeight="false" outlineLevel="0" collapsed="false">
      <c r="A310" s="19" t="n">
        <f aca="false">A309+1</f>
        <v>308</v>
      </c>
      <c r="B310" s="19" t="n">
        <f aca="false">IF($A310="","",ROUNDUP($A310/12,0))</f>
        <v>26</v>
      </c>
      <c r="C310" s="19" t="n">
        <f aca="false">IF($A310="","",PARAMETROS!$C$6+INT(($A310-1)/12))</f>
        <v>90</v>
      </c>
      <c r="D310" s="19" t="n">
        <f aca="false">IF($A310="","",MOD($A310-1,12)+1)</f>
        <v>8</v>
      </c>
      <c r="E310" s="20" t="n">
        <f aca="false">IF($A310&gt;PARAMETROS!$C$33,"",P309)</f>
        <v>0</v>
      </c>
      <c r="F310" s="21" t="n">
        <f aca="false">IF($A310&gt;PARAMETROS!$C$33,"",PARAMETROS!$C$38)</f>
        <v>0.00495440818448101</v>
      </c>
      <c r="G310" s="20" t="n">
        <f aca="false">IF($A310&gt;PARAMETROS!$C$33,"",E310*F310)</f>
        <v>0</v>
      </c>
      <c r="H310" s="20" t="n">
        <f aca="false">IF($A310&gt;PARAMETROS!$C$33,"",E310*PARAMETROS!$C$39)</f>
        <v>0</v>
      </c>
      <c r="I310" s="20" t="n">
        <f aca="false">IF($A310&gt;PARAMETROS!$C$33,"",G310-H310)</f>
        <v>0</v>
      </c>
      <c r="J310" s="20" t="n">
        <f aca="false">IF($A310&gt;PARAMETROS!$C$33,"",PARAMETROS!$C$9*(1+PARAMETROS!$C$17)^(B310-1))</f>
        <v>78829.5535393178</v>
      </c>
      <c r="K310" s="20" t="n">
        <f aca="false">IF($A310&gt;PARAMETROS!$C$33,"",K309*(1+PARAMETROS!$C$36))</f>
        <v>73162.6518078968</v>
      </c>
      <c r="L310" s="20" t="n">
        <f aca="false">IF($A310&gt;PARAMETROS!$C$33,"",L309*(1+PARAMETROS!$C$37)*(1+M310))</f>
        <v>33381.2879929386</v>
      </c>
      <c r="M310" s="21" t="n">
        <f aca="false">IF($A310&gt;PARAMETROS!$C$33,"",IF(C310&lt;70,PARAMETROS!$C$40,IF(C310&lt;75,PARAMETROS!$C$41,IF(C310&lt;80,PARAMETROS!$C$42,IF(C310&lt;85,PARAMETROS!$C$43,IF(C310&lt;90,PARAMETROS!$C$44,PARAMETROS!$C$45))))))</f>
        <v>0</v>
      </c>
      <c r="N310" s="20" t="n">
        <f aca="false">IF($A310&gt;PARAMETROS!$C$33,"",K310+L310)</f>
        <v>106543.939800835</v>
      </c>
      <c r="O310" s="20" t="n">
        <f aca="false">IF($A310&gt;PARAMETROS!$C$33,"",I310+J310-N310)</f>
        <v>-27714.3862615176</v>
      </c>
      <c r="P310" s="20" t="n">
        <f aca="false">IF($A310&gt;PARAMETROS!$C$33,"",MAX(E310+I310+J310-N310,0))</f>
        <v>0</v>
      </c>
      <c r="Q310" s="22" t="str">
        <f aca="false">IF($A310&gt;PARAMETROS!$C$33,"",IF(P310&lt;=0,"AGOTADO","OK"))</f>
        <v>AGOTADO</v>
      </c>
    </row>
    <row r="311" customFormat="false" ht="15" hidden="false" customHeight="false" outlineLevel="0" collapsed="false">
      <c r="A311" s="19" t="n">
        <f aca="false">A310+1</f>
        <v>309</v>
      </c>
      <c r="B311" s="19" t="n">
        <f aca="false">IF($A311="","",ROUNDUP($A311/12,0))</f>
        <v>26</v>
      </c>
      <c r="C311" s="19" t="n">
        <f aca="false">IF($A311="","",PARAMETROS!$C$6+INT(($A311-1)/12))</f>
        <v>90</v>
      </c>
      <c r="D311" s="19" t="n">
        <f aca="false">IF($A311="","",MOD($A311-1,12)+1)</f>
        <v>9</v>
      </c>
      <c r="E311" s="20" t="n">
        <f aca="false">IF($A311&gt;PARAMETROS!$C$33,"",P310)</f>
        <v>0</v>
      </c>
      <c r="F311" s="21" t="n">
        <f aca="false">IF($A311&gt;PARAMETROS!$C$33,"",PARAMETROS!$C$38)</f>
        <v>0.00495440818448101</v>
      </c>
      <c r="G311" s="20" t="n">
        <f aca="false">IF($A311&gt;PARAMETROS!$C$33,"",E311*F311)</f>
        <v>0</v>
      </c>
      <c r="H311" s="20" t="n">
        <f aca="false">IF($A311&gt;PARAMETROS!$C$33,"",E311*PARAMETROS!$C$39)</f>
        <v>0</v>
      </c>
      <c r="I311" s="20" t="n">
        <f aca="false">IF($A311&gt;PARAMETROS!$C$33,"",G311-H311)</f>
        <v>0</v>
      </c>
      <c r="J311" s="20" t="n">
        <f aca="false">IF($A311&gt;PARAMETROS!$C$33,"",PARAMETROS!$C$9*(1+PARAMETROS!$C$17)^(B311-1))</f>
        <v>78829.5535393178</v>
      </c>
      <c r="K311" s="20" t="n">
        <f aca="false">IF($A311&gt;PARAMETROS!$C$33,"",K310*(1+PARAMETROS!$C$36))</f>
        <v>73413.3329547626</v>
      </c>
      <c r="L311" s="20" t="n">
        <f aca="false">IF($A311&gt;PARAMETROS!$C$33,"",L310*(1+PARAMETROS!$C$37)*(1+M311))</f>
        <v>33513.0283533326</v>
      </c>
      <c r="M311" s="21" t="n">
        <f aca="false">IF($A311&gt;PARAMETROS!$C$33,"",IF(C311&lt;70,PARAMETROS!$C$40,IF(C311&lt;75,PARAMETROS!$C$41,IF(C311&lt;80,PARAMETROS!$C$42,IF(C311&lt;85,PARAMETROS!$C$43,IF(C311&lt;90,PARAMETROS!$C$44,PARAMETROS!$C$45))))))</f>
        <v>0</v>
      </c>
      <c r="N311" s="20" t="n">
        <f aca="false">IF($A311&gt;PARAMETROS!$C$33,"",K311+L311)</f>
        <v>106926.361308095</v>
      </c>
      <c r="O311" s="20" t="n">
        <f aca="false">IF($A311&gt;PARAMETROS!$C$33,"",I311+J311-N311)</f>
        <v>-28096.8077687775</v>
      </c>
      <c r="P311" s="20" t="n">
        <f aca="false">IF($A311&gt;PARAMETROS!$C$33,"",MAX(E311+I311+J311-N311,0))</f>
        <v>0</v>
      </c>
      <c r="Q311" s="22" t="str">
        <f aca="false">IF($A311&gt;PARAMETROS!$C$33,"",IF(P311&lt;=0,"AGOTADO","OK"))</f>
        <v>AGOTADO</v>
      </c>
    </row>
    <row r="312" customFormat="false" ht="15" hidden="false" customHeight="false" outlineLevel="0" collapsed="false">
      <c r="A312" s="19" t="n">
        <f aca="false">A311+1</f>
        <v>310</v>
      </c>
      <c r="B312" s="19" t="n">
        <f aca="false">IF($A312="","",ROUNDUP($A312/12,0))</f>
        <v>26</v>
      </c>
      <c r="C312" s="19" t="n">
        <f aca="false">IF($A312="","",PARAMETROS!$C$6+INT(($A312-1)/12))</f>
        <v>90</v>
      </c>
      <c r="D312" s="19" t="n">
        <f aca="false">IF($A312="","",MOD($A312-1,12)+1)</f>
        <v>10</v>
      </c>
      <c r="E312" s="20" t="n">
        <f aca="false">IF($A312&gt;PARAMETROS!$C$33,"",P311)</f>
        <v>0</v>
      </c>
      <c r="F312" s="21" t="n">
        <f aca="false">IF($A312&gt;PARAMETROS!$C$33,"",PARAMETROS!$C$38)</f>
        <v>0.00495440818448101</v>
      </c>
      <c r="G312" s="20" t="n">
        <f aca="false">IF($A312&gt;PARAMETROS!$C$33,"",E312*F312)</f>
        <v>0</v>
      </c>
      <c r="H312" s="20" t="n">
        <f aca="false">IF($A312&gt;PARAMETROS!$C$33,"",E312*PARAMETROS!$C$39)</f>
        <v>0</v>
      </c>
      <c r="I312" s="20" t="n">
        <f aca="false">IF($A312&gt;PARAMETROS!$C$33,"",G312-H312)</f>
        <v>0</v>
      </c>
      <c r="J312" s="20" t="n">
        <f aca="false">IF($A312&gt;PARAMETROS!$C$33,"",PARAMETROS!$C$9*(1+PARAMETROS!$C$17)^(B312-1))</f>
        <v>78829.5535393178</v>
      </c>
      <c r="K312" s="20" t="n">
        <f aca="false">IF($A312&gt;PARAMETROS!$C$33,"",K311*(1+PARAMETROS!$C$36))</f>
        <v>73664.8730239863</v>
      </c>
      <c r="L312" s="20" t="n">
        <f aca="false">IF($A312&gt;PARAMETROS!$C$33,"",L311*(1+PARAMETROS!$C$37)*(1+M312))</f>
        <v>33645.288631429</v>
      </c>
      <c r="M312" s="21" t="n">
        <f aca="false">IF($A312&gt;PARAMETROS!$C$33,"",IF(C312&lt;70,PARAMETROS!$C$40,IF(C312&lt;75,PARAMETROS!$C$41,IF(C312&lt;80,PARAMETROS!$C$42,IF(C312&lt;85,PARAMETROS!$C$43,IF(C312&lt;90,PARAMETROS!$C$44,PARAMETROS!$C$45))))))</f>
        <v>0</v>
      </c>
      <c r="N312" s="20" t="n">
        <f aca="false">IF($A312&gt;PARAMETROS!$C$33,"",K312+L312)</f>
        <v>107310.161655415</v>
      </c>
      <c r="O312" s="20" t="n">
        <f aca="false">IF($A312&gt;PARAMETROS!$C$33,"",I312+J312-N312)</f>
        <v>-28480.6081160975</v>
      </c>
      <c r="P312" s="20" t="n">
        <f aca="false">IF($A312&gt;PARAMETROS!$C$33,"",MAX(E312+I312+J312-N312,0))</f>
        <v>0</v>
      </c>
      <c r="Q312" s="22" t="str">
        <f aca="false">IF($A312&gt;PARAMETROS!$C$33,"",IF(P312&lt;=0,"AGOTADO","OK"))</f>
        <v>AGOTADO</v>
      </c>
    </row>
    <row r="313" customFormat="false" ht="15" hidden="false" customHeight="false" outlineLevel="0" collapsed="false">
      <c r="A313" s="19" t="n">
        <f aca="false">A312+1</f>
        <v>311</v>
      </c>
      <c r="B313" s="19" t="n">
        <f aca="false">IF($A313="","",ROUNDUP($A313/12,0))</f>
        <v>26</v>
      </c>
      <c r="C313" s="19" t="n">
        <f aca="false">IF($A313="","",PARAMETROS!$C$6+INT(($A313-1)/12))</f>
        <v>90</v>
      </c>
      <c r="D313" s="19" t="n">
        <f aca="false">IF($A313="","",MOD($A313-1,12)+1)</f>
        <v>11</v>
      </c>
      <c r="E313" s="20" t="n">
        <f aca="false">IF($A313&gt;PARAMETROS!$C$33,"",P312)</f>
        <v>0</v>
      </c>
      <c r="F313" s="21" t="n">
        <f aca="false">IF($A313&gt;PARAMETROS!$C$33,"",PARAMETROS!$C$38)</f>
        <v>0.00495440818448101</v>
      </c>
      <c r="G313" s="20" t="n">
        <f aca="false">IF($A313&gt;PARAMETROS!$C$33,"",E313*F313)</f>
        <v>0</v>
      </c>
      <c r="H313" s="20" t="n">
        <f aca="false">IF($A313&gt;PARAMETROS!$C$33,"",E313*PARAMETROS!$C$39)</f>
        <v>0</v>
      </c>
      <c r="I313" s="20" t="n">
        <f aca="false">IF($A313&gt;PARAMETROS!$C$33,"",G313-H313)</f>
        <v>0</v>
      </c>
      <c r="J313" s="20" t="n">
        <f aca="false">IF($A313&gt;PARAMETROS!$C$33,"",PARAMETROS!$C$9*(1+PARAMETROS!$C$17)^(B313-1))</f>
        <v>78829.5535393178</v>
      </c>
      <c r="K313" s="20" t="n">
        <f aca="false">IF($A313&gt;PARAMETROS!$C$33,"",K312*(1+PARAMETROS!$C$36))</f>
        <v>73917.2749585399</v>
      </c>
      <c r="L313" s="20" t="n">
        <f aca="false">IF($A313&gt;PARAMETROS!$C$33,"",L312*(1+PARAMETROS!$C$37)*(1+M313))</f>
        <v>33778.0708791003</v>
      </c>
      <c r="M313" s="21" t="n">
        <f aca="false">IF($A313&gt;PARAMETROS!$C$33,"",IF(C313&lt;70,PARAMETROS!$C$40,IF(C313&lt;75,PARAMETROS!$C$41,IF(C313&lt;80,PARAMETROS!$C$42,IF(C313&lt;85,PARAMETROS!$C$43,IF(C313&lt;90,PARAMETROS!$C$44,PARAMETROS!$C$45))))))</f>
        <v>0</v>
      </c>
      <c r="N313" s="20" t="n">
        <f aca="false">IF($A313&gt;PARAMETROS!$C$33,"",K313+L313)</f>
        <v>107695.34583764</v>
      </c>
      <c r="O313" s="20" t="n">
        <f aca="false">IF($A313&gt;PARAMETROS!$C$33,"",I313+J313-N313)</f>
        <v>-28865.7922983224</v>
      </c>
      <c r="P313" s="20" t="n">
        <f aca="false">IF($A313&gt;PARAMETROS!$C$33,"",MAX(E313+I313+J313-N313,0))</f>
        <v>0</v>
      </c>
      <c r="Q313" s="22" t="str">
        <f aca="false">IF($A313&gt;PARAMETROS!$C$33,"",IF(P313&lt;=0,"AGOTADO","OK"))</f>
        <v>AGOTADO</v>
      </c>
    </row>
    <row r="314" customFormat="false" ht="15" hidden="false" customHeight="false" outlineLevel="0" collapsed="false">
      <c r="A314" s="19" t="n">
        <f aca="false">A313+1</f>
        <v>312</v>
      </c>
      <c r="B314" s="19" t="n">
        <f aca="false">IF($A314="","",ROUNDUP($A314/12,0))</f>
        <v>26</v>
      </c>
      <c r="C314" s="19" t="n">
        <f aca="false">IF($A314="","",PARAMETROS!$C$6+INT(($A314-1)/12))</f>
        <v>90</v>
      </c>
      <c r="D314" s="19" t="n">
        <f aca="false">IF($A314="","",MOD($A314-1,12)+1)</f>
        <v>12</v>
      </c>
      <c r="E314" s="20" t="n">
        <f aca="false">IF($A314&gt;PARAMETROS!$C$33,"",P313)</f>
        <v>0</v>
      </c>
      <c r="F314" s="21" t="n">
        <f aca="false">IF($A314&gt;PARAMETROS!$C$33,"",PARAMETROS!$C$38)</f>
        <v>0.00495440818448101</v>
      </c>
      <c r="G314" s="20" t="n">
        <f aca="false">IF($A314&gt;PARAMETROS!$C$33,"",E314*F314)</f>
        <v>0</v>
      </c>
      <c r="H314" s="20" t="n">
        <f aca="false">IF($A314&gt;PARAMETROS!$C$33,"",E314*PARAMETROS!$C$39)</f>
        <v>0</v>
      </c>
      <c r="I314" s="20" t="n">
        <f aca="false">IF($A314&gt;PARAMETROS!$C$33,"",G314-H314)</f>
        <v>0</v>
      </c>
      <c r="J314" s="20" t="n">
        <f aca="false">IF($A314&gt;PARAMETROS!$C$33,"",PARAMETROS!$C$9*(1+PARAMETROS!$C$17)^(B314-1))</f>
        <v>78829.5535393178</v>
      </c>
      <c r="K314" s="20" t="n">
        <f aca="false">IF($A314&gt;PARAMETROS!$C$33,"",K313*(1+PARAMETROS!$C$36))</f>
        <v>74170.5417114791</v>
      </c>
      <c r="L314" s="20" t="n">
        <f aca="false">IF($A314&gt;PARAMETROS!$C$33,"",L313*(1+PARAMETROS!$C$37)*(1+M314))</f>
        <v>33911.3771563167</v>
      </c>
      <c r="M314" s="21" t="n">
        <f aca="false">IF($A314&gt;PARAMETROS!$C$33,"",IF(C314&lt;70,PARAMETROS!$C$40,IF(C314&lt;75,PARAMETROS!$C$41,IF(C314&lt;80,PARAMETROS!$C$42,IF(C314&lt;85,PARAMETROS!$C$43,IF(C314&lt;90,PARAMETROS!$C$44,PARAMETROS!$C$45))))))</f>
        <v>0</v>
      </c>
      <c r="N314" s="20" t="n">
        <f aca="false">IF($A314&gt;PARAMETROS!$C$33,"",K314+L314)</f>
        <v>108081.918867796</v>
      </c>
      <c r="O314" s="20" t="n">
        <f aca="false">IF($A314&gt;PARAMETROS!$C$33,"",I314+J314-N314)</f>
        <v>-29252.365328478</v>
      </c>
      <c r="P314" s="20" t="n">
        <f aca="false">IF($A314&gt;PARAMETROS!$C$33,"",MAX(E314+I314+J314-N314,0))</f>
        <v>0</v>
      </c>
      <c r="Q314" s="22" t="str">
        <f aca="false">IF($A314&gt;PARAMETROS!$C$33,"",IF(P314&lt;=0,"AGOTADO","OK"))</f>
        <v>AGOTADO</v>
      </c>
    </row>
    <row r="315" customFormat="false" ht="15" hidden="false" customHeight="false" outlineLevel="0" collapsed="false">
      <c r="A315" s="15" t="n">
        <f aca="false">A314+1</f>
        <v>313</v>
      </c>
      <c r="B315" s="15" t="n">
        <f aca="false">IF($A315="","",ROUNDUP($A315/12,0))</f>
        <v>27</v>
      </c>
      <c r="C315" s="15" t="n">
        <f aca="false">IF($A315="","",PARAMETROS!$C$6+INT(($A315-1)/12))</f>
        <v>91</v>
      </c>
      <c r="D315" s="15" t="n">
        <f aca="false">IF($A315="","",MOD($A315-1,12)+1)</f>
        <v>1</v>
      </c>
      <c r="E315" s="16" t="n">
        <f aca="false">IF($A315&gt;PARAMETROS!$C$33,"",P314)</f>
        <v>0</v>
      </c>
      <c r="F315" s="17" t="n">
        <f aca="false">IF($A315&gt;PARAMETROS!$C$33,"",PARAMETROS!$C$38)</f>
        <v>0.00495440818448101</v>
      </c>
      <c r="G315" s="16" t="n">
        <f aca="false">IF($A315&gt;PARAMETROS!$C$33,"",E315*F315)</f>
        <v>0</v>
      </c>
      <c r="H315" s="16" t="n">
        <f aca="false">IF($A315&gt;PARAMETROS!$C$33,"",E315*PARAMETROS!$C$39)</f>
        <v>0</v>
      </c>
      <c r="I315" s="16" t="n">
        <f aca="false">IF($A315&gt;PARAMETROS!$C$33,"",G315-H315)</f>
        <v>0</v>
      </c>
      <c r="J315" s="16" t="n">
        <f aca="false">IF($A315&gt;PARAMETROS!$C$33,"",PARAMETROS!$C$9*(1+PARAMETROS!$C$17)^(B315-1))</f>
        <v>81935.4379487669</v>
      </c>
      <c r="K315" s="16" t="n">
        <f aca="false">IF($A315&gt;PARAMETROS!$C$33,"",K314*(1+PARAMETROS!$C$36))</f>
        <v>74424.6762459779</v>
      </c>
      <c r="L315" s="16" t="n">
        <f aca="false">IF($A315&gt;PARAMETROS!$C$33,"",L314*(1+PARAMETROS!$C$37)*(1+M315))</f>
        <v>34045.2095311781</v>
      </c>
      <c r="M315" s="17" t="n">
        <f aca="false">IF($A315&gt;PARAMETROS!$C$33,"",IF(C315&lt;70,PARAMETROS!$C$40,IF(C315&lt;75,PARAMETROS!$C$41,IF(C315&lt;80,PARAMETROS!$C$42,IF(C315&lt;85,PARAMETROS!$C$43,IF(C315&lt;90,PARAMETROS!$C$44,PARAMETROS!$C$45))))))</f>
        <v>0</v>
      </c>
      <c r="N315" s="16" t="n">
        <f aca="false">IF($A315&gt;PARAMETROS!$C$33,"",K315+L315)</f>
        <v>108469.885777156</v>
      </c>
      <c r="O315" s="16" t="n">
        <f aca="false">IF($A315&gt;PARAMETROS!$C$33,"",I315+J315-N315)</f>
        <v>-26534.4478283891</v>
      </c>
      <c r="P315" s="16" t="n">
        <f aca="false">IF($A315&gt;PARAMETROS!$C$33,"",MAX(E315+I315+J315-N315,0))</f>
        <v>0</v>
      </c>
      <c r="Q315" s="18" t="str">
        <f aca="false">IF($A315&gt;PARAMETROS!$C$33,"",IF(P315&lt;=0,"AGOTADO","OK"))</f>
        <v>AGOTADO</v>
      </c>
    </row>
    <row r="316" customFormat="false" ht="15" hidden="false" customHeight="false" outlineLevel="0" collapsed="false">
      <c r="A316" s="15" t="n">
        <f aca="false">A315+1</f>
        <v>314</v>
      </c>
      <c r="B316" s="15" t="n">
        <f aca="false">IF($A316="","",ROUNDUP($A316/12,0))</f>
        <v>27</v>
      </c>
      <c r="C316" s="15" t="n">
        <f aca="false">IF($A316="","",PARAMETROS!$C$6+INT(($A316-1)/12))</f>
        <v>91</v>
      </c>
      <c r="D316" s="15" t="n">
        <f aca="false">IF($A316="","",MOD($A316-1,12)+1)</f>
        <v>2</v>
      </c>
      <c r="E316" s="16" t="n">
        <f aca="false">IF($A316&gt;PARAMETROS!$C$33,"",P315)</f>
        <v>0</v>
      </c>
      <c r="F316" s="17" t="n">
        <f aca="false">IF($A316&gt;PARAMETROS!$C$33,"",PARAMETROS!$C$38)</f>
        <v>0.00495440818448101</v>
      </c>
      <c r="G316" s="16" t="n">
        <f aca="false">IF($A316&gt;PARAMETROS!$C$33,"",E316*F316)</f>
        <v>0</v>
      </c>
      <c r="H316" s="16" t="n">
        <f aca="false">IF($A316&gt;PARAMETROS!$C$33,"",E316*PARAMETROS!$C$39)</f>
        <v>0</v>
      </c>
      <c r="I316" s="16" t="n">
        <f aca="false">IF($A316&gt;PARAMETROS!$C$33,"",G316-H316)</f>
        <v>0</v>
      </c>
      <c r="J316" s="16" t="n">
        <f aca="false">IF($A316&gt;PARAMETROS!$C$33,"",PARAMETROS!$C$9*(1+PARAMETROS!$C$17)^(B316-1))</f>
        <v>81935.4379487669</v>
      </c>
      <c r="K316" s="16" t="n">
        <f aca="false">IF($A316&gt;PARAMETROS!$C$33,"",K315*(1+PARAMETROS!$C$36))</f>
        <v>74679.6815353631</v>
      </c>
      <c r="L316" s="16" t="n">
        <f aca="false">IF($A316&gt;PARAMETROS!$C$33,"",L315*(1+PARAMETROS!$C$37)*(1+M316))</f>
        <v>34179.5700799465</v>
      </c>
      <c r="M316" s="17" t="n">
        <f aca="false">IF($A316&gt;PARAMETROS!$C$33,"",IF(C316&lt;70,PARAMETROS!$C$40,IF(C316&lt;75,PARAMETROS!$C$41,IF(C316&lt;80,PARAMETROS!$C$42,IF(C316&lt;85,PARAMETROS!$C$43,IF(C316&lt;90,PARAMETROS!$C$44,PARAMETROS!$C$45))))))</f>
        <v>0</v>
      </c>
      <c r="N316" s="16" t="n">
        <f aca="false">IF($A316&gt;PARAMETROS!$C$33,"",K316+L316)</f>
        <v>108859.25161531</v>
      </c>
      <c r="O316" s="16" t="n">
        <f aca="false">IF($A316&gt;PARAMETROS!$C$33,"",I316+J316-N316)</f>
        <v>-26923.8136665427</v>
      </c>
      <c r="P316" s="16" t="n">
        <f aca="false">IF($A316&gt;PARAMETROS!$C$33,"",MAX(E316+I316+J316-N316,0))</f>
        <v>0</v>
      </c>
      <c r="Q316" s="18" t="str">
        <f aca="false">IF($A316&gt;PARAMETROS!$C$33,"",IF(P316&lt;=0,"AGOTADO","OK"))</f>
        <v>AGOTADO</v>
      </c>
    </row>
    <row r="317" customFormat="false" ht="15" hidden="false" customHeight="false" outlineLevel="0" collapsed="false">
      <c r="A317" s="15" t="n">
        <f aca="false">A316+1</f>
        <v>315</v>
      </c>
      <c r="B317" s="15" t="n">
        <f aca="false">IF($A317="","",ROUNDUP($A317/12,0))</f>
        <v>27</v>
      </c>
      <c r="C317" s="15" t="n">
        <f aca="false">IF($A317="","",PARAMETROS!$C$6+INT(($A317-1)/12))</f>
        <v>91</v>
      </c>
      <c r="D317" s="15" t="n">
        <f aca="false">IF($A317="","",MOD($A317-1,12)+1)</f>
        <v>3</v>
      </c>
      <c r="E317" s="16" t="n">
        <f aca="false">IF($A317&gt;PARAMETROS!$C$33,"",P316)</f>
        <v>0</v>
      </c>
      <c r="F317" s="17" t="n">
        <f aca="false">IF($A317&gt;PARAMETROS!$C$33,"",PARAMETROS!$C$38)</f>
        <v>0.00495440818448101</v>
      </c>
      <c r="G317" s="16" t="n">
        <f aca="false">IF($A317&gt;PARAMETROS!$C$33,"",E317*F317)</f>
        <v>0</v>
      </c>
      <c r="H317" s="16" t="n">
        <f aca="false">IF($A317&gt;PARAMETROS!$C$33,"",E317*PARAMETROS!$C$39)</f>
        <v>0</v>
      </c>
      <c r="I317" s="16" t="n">
        <f aca="false">IF($A317&gt;PARAMETROS!$C$33,"",G317-H317)</f>
        <v>0</v>
      </c>
      <c r="J317" s="16" t="n">
        <f aca="false">IF($A317&gt;PARAMETROS!$C$33,"",PARAMETROS!$C$9*(1+PARAMETROS!$C$17)^(B317-1))</f>
        <v>81935.4379487669</v>
      </c>
      <c r="K317" s="16" t="n">
        <f aca="false">IF($A317&gt;PARAMETROS!$C$33,"",K316*(1+PARAMETROS!$C$36))</f>
        <v>74935.5605631493</v>
      </c>
      <c r="L317" s="16" t="n">
        <f aca="false">IF($A317&gt;PARAMETROS!$C$33,"",L316*(1+PARAMETROS!$C$37)*(1+M317))</f>
        <v>34314.4608870776</v>
      </c>
      <c r="M317" s="17" t="n">
        <f aca="false">IF($A317&gt;PARAMETROS!$C$33,"",IF(C317&lt;70,PARAMETROS!$C$40,IF(C317&lt;75,PARAMETROS!$C$41,IF(C317&lt;80,PARAMETROS!$C$42,IF(C317&lt;85,PARAMETROS!$C$43,IF(C317&lt;90,PARAMETROS!$C$44,PARAMETROS!$C$45))))))</f>
        <v>0</v>
      </c>
      <c r="N317" s="16" t="n">
        <f aca="false">IF($A317&gt;PARAMETROS!$C$33,"",K317+L317)</f>
        <v>109250.021450227</v>
      </c>
      <c r="O317" s="16" t="n">
        <f aca="false">IF($A317&gt;PARAMETROS!$C$33,"",I317+J317-N317)</f>
        <v>-27314.58350146</v>
      </c>
      <c r="P317" s="16" t="n">
        <f aca="false">IF($A317&gt;PARAMETROS!$C$33,"",MAX(E317+I317+J317-N317,0))</f>
        <v>0</v>
      </c>
      <c r="Q317" s="18" t="str">
        <f aca="false">IF($A317&gt;PARAMETROS!$C$33,"",IF(P317&lt;=0,"AGOTADO","OK"))</f>
        <v>AGOTADO</v>
      </c>
    </row>
    <row r="318" customFormat="false" ht="15" hidden="false" customHeight="false" outlineLevel="0" collapsed="false">
      <c r="A318" s="15" t="n">
        <f aca="false">A317+1</f>
        <v>316</v>
      </c>
      <c r="B318" s="15" t="n">
        <f aca="false">IF($A318="","",ROUNDUP($A318/12,0))</f>
        <v>27</v>
      </c>
      <c r="C318" s="15" t="n">
        <f aca="false">IF($A318="","",PARAMETROS!$C$6+INT(($A318-1)/12))</f>
        <v>91</v>
      </c>
      <c r="D318" s="15" t="n">
        <f aca="false">IF($A318="","",MOD($A318-1,12)+1)</f>
        <v>4</v>
      </c>
      <c r="E318" s="16" t="n">
        <f aca="false">IF($A318&gt;PARAMETROS!$C$33,"",P317)</f>
        <v>0</v>
      </c>
      <c r="F318" s="17" t="n">
        <f aca="false">IF($A318&gt;PARAMETROS!$C$33,"",PARAMETROS!$C$38)</f>
        <v>0.00495440818448101</v>
      </c>
      <c r="G318" s="16" t="n">
        <f aca="false">IF($A318&gt;PARAMETROS!$C$33,"",E318*F318)</f>
        <v>0</v>
      </c>
      <c r="H318" s="16" t="n">
        <f aca="false">IF($A318&gt;PARAMETROS!$C$33,"",E318*PARAMETROS!$C$39)</f>
        <v>0</v>
      </c>
      <c r="I318" s="16" t="n">
        <f aca="false">IF($A318&gt;PARAMETROS!$C$33,"",G318-H318)</f>
        <v>0</v>
      </c>
      <c r="J318" s="16" t="n">
        <f aca="false">IF($A318&gt;PARAMETROS!$C$33,"",PARAMETROS!$C$9*(1+PARAMETROS!$C$17)^(B318-1))</f>
        <v>81935.4379487669</v>
      </c>
      <c r="K318" s="16" t="n">
        <f aca="false">IF($A318&gt;PARAMETROS!$C$33,"",K317*(1+PARAMETROS!$C$36))</f>
        <v>75192.3163230735</v>
      </c>
      <c r="L318" s="16" t="n">
        <f aca="false">IF($A318&gt;PARAMETROS!$C$33,"",L317*(1+PARAMETROS!$C$37)*(1+M318))</f>
        <v>34449.8840452537</v>
      </c>
      <c r="M318" s="17" t="n">
        <f aca="false">IF($A318&gt;PARAMETROS!$C$33,"",IF(C318&lt;70,PARAMETROS!$C$40,IF(C318&lt;75,PARAMETROS!$C$41,IF(C318&lt;80,PARAMETROS!$C$42,IF(C318&lt;85,PARAMETROS!$C$43,IF(C318&lt;90,PARAMETROS!$C$44,PARAMETROS!$C$45))))))</f>
        <v>0</v>
      </c>
      <c r="N318" s="16" t="n">
        <f aca="false">IF($A318&gt;PARAMETROS!$C$33,"",K318+L318)</f>
        <v>109642.200368327</v>
      </c>
      <c r="O318" s="16" t="n">
        <f aca="false">IF($A318&gt;PARAMETROS!$C$33,"",I318+J318-N318)</f>
        <v>-27706.7624195603</v>
      </c>
      <c r="P318" s="16" t="n">
        <f aca="false">IF($A318&gt;PARAMETROS!$C$33,"",MAX(E318+I318+J318-N318,0))</f>
        <v>0</v>
      </c>
      <c r="Q318" s="18" t="str">
        <f aca="false">IF($A318&gt;PARAMETROS!$C$33,"",IF(P318&lt;=0,"AGOTADO","OK"))</f>
        <v>AGOTADO</v>
      </c>
    </row>
    <row r="319" customFormat="false" ht="15" hidden="false" customHeight="false" outlineLevel="0" collapsed="false">
      <c r="A319" s="15" t="n">
        <f aca="false">A318+1</f>
        <v>317</v>
      </c>
      <c r="B319" s="15" t="n">
        <f aca="false">IF($A319="","",ROUNDUP($A319/12,0))</f>
        <v>27</v>
      </c>
      <c r="C319" s="15" t="n">
        <f aca="false">IF($A319="","",PARAMETROS!$C$6+INT(($A319-1)/12))</f>
        <v>91</v>
      </c>
      <c r="D319" s="15" t="n">
        <f aca="false">IF($A319="","",MOD($A319-1,12)+1)</f>
        <v>5</v>
      </c>
      <c r="E319" s="16" t="n">
        <f aca="false">IF($A319&gt;PARAMETROS!$C$33,"",P318)</f>
        <v>0</v>
      </c>
      <c r="F319" s="17" t="n">
        <f aca="false">IF($A319&gt;PARAMETROS!$C$33,"",PARAMETROS!$C$38)</f>
        <v>0.00495440818448101</v>
      </c>
      <c r="G319" s="16" t="n">
        <f aca="false">IF($A319&gt;PARAMETROS!$C$33,"",E319*F319)</f>
        <v>0</v>
      </c>
      <c r="H319" s="16" t="n">
        <f aca="false">IF($A319&gt;PARAMETROS!$C$33,"",E319*PARAMETROS!$C$39)</f>
        <v>0</v>
      </c>
      <c r="I319" s="16" t="n">
        <f aca="false">IF($A319&gt;PARAMETROS!$C$33,"",G319-H319)</f>
        <v>0</v>
      </c>
      <c r="J319" s="16" t="n">
        <f aca="false">IF($A319&gt;PARAMETROS!$C$33,"",PARAMETROS!$C$9*(1+PARAMETROS!$C$17)^(B319-1))</f>
        <v>81935.4379487669</v>
      </c>
      <c r="K319" s="16" t="n">
        <f aca="false">IF($A319&gt;PARAMETROS!$C$33,"",K318*(1+PARAMETROS!$C$36))</f>
        <v>75449.9518191304</v>
      </c>
      <c r="L319" s="16" t="n">
        <f aca="false">IF($A319&gt;PARAMETROS!$C$33,"",L318*(1+PARAMETROS!$C$37)*(1+M319))</f>
        <v>34585.8416554158</v>
      </c>
      <c r="M319" s="17" t="n">
        <f aca="false">IF($A319&gt;PARAMETROS!$C$33,"",IF(C319&lt;70,PARAMETROS!$C$40,IF(C319&lt;75,PARAMETROS!$C$41,IF(C319&lt;80,PARAMETROS!$C$42,IF(C319&lt;85,PARAMETROS!$C$43,IF(C319&lt;90,PARAMETROS!$C$44,PARAMETROS!$C$45))))))</f>
        <v>0</v>
      </c>
      <c r="N319" s="16" t="n">
        <f aca="false">IF($A319&gt;PARAMETROS!$C$33,"",K319+L319)</f>
        <v>110035.793474546</v>
      </c>
      <c r="O319" s="16" t="n">
        <f aca="false">IF($A319&gt;PARAMETROS!$C$33,"",I319+J319-N319)</f>
        <v>-28100.3555257794</v>
      </c>
      <c r="P319" s="16" t="n">
        <f aca="false">IF($A319&gt;PARAMETROS!$C$33,"",MAX(E319+I319+J319-N319,0))</f>
        <v>0</v>
      </c>
      <c r="Q319" s="18" t="str">
        <f aca="false">IF($A319&gt;PARAMETROS!$C$33,"",IF(P319&lt;=0,"AGOTADO","OK"))</f>
        <v>AGOTADO</v>
      </c>
    </row>
    <row r="320" customFormat="false" ht="15" hidden="false" customHeight="false" outlineLevel="0" collapsed="false">
      <c r="A320" s="15" t="n">
        <f aca="false">A319+1</f>
        <v>318</v>
      </c>
      <c r="B320" s="15" t="n">
        <f aca="false">IF($A320="","",ROUNDUP($A320/12,0))</f>
        <v>27</v>
      </c>
      <c r="C320" s="15" t="n">
        <f aca="false">IF($A320="","",PARAMETROS!$C$6+INT(($A320-1)/12))</f>
        <v>91</v>
      </c>
      <c r="D320" s="15" t="n">
        <f aca="false">IF($A320="","",MOD($A320-1,12)+1)</f>
        <v>6</v>
      </c>
      <c r="E320" s="16" t="n">
        <f aca="false">IF($A320&gt;PARAMETROS!$C$33,"",P319)</f>
        <v>0</v>
      </c>
      <c r="F320" s="17" t="n">
        <f aca="false">IF($A320&gt;PARAMETROS!$C$33,"",PARAMETROS!$C$38)</f>
        <v>0.00495440818448101</v>
      </c>
      <c r="G320" s="16" t="n">
        <f aca="false">IF($A320&gt;PARAMETROS!$C$33,"",E320*F320)</f>
        <v>0</v>
      </c>
      <c r="H320" s="16" t="n">
        <f aca="false">IF($A320&gt;PARAMETROS!$C$33,"",E320*PARAMETROS!$C$39)</f>
        <v>0</v>
      </c>
      <c r="I320" s="16" t="n">
        <f aca="false">IF($A320&gt;PARAMETROS!$C$33,"",G320-H320)</f>
        <v>0</v>
      </c>
      <c r="J320" s="16" t="n">
        <f aca="false">IF($A320&gt;PARAMETROS!$C$33,"",PARAMETROS!$C$9*(1+PARAMETROS!$C$17)^(B320-1))</f>
        <v>81935.4379487669</v>
      </c>
      <c r="K320" s="16" t="n">
        <f aca="false">IF($A320&gt;PARAMETROS!$C$33,"",K319*(1+PARAMETROS!$C$36))</f>
        <v>75708.4700656076</v>
      </c>
      <c r="L320" s="16" t="n">
        <f aca="false">IF($A320&gt;PARAMETROS!$C$33,"",L319*(1+PARAMETROS!$C$37)*(1+M320))</f>
        <v>34722.3358267965</v>
      </c>
      <c r="M320" s="17" t="n">
        <f aca="false">IF($A320&gt;PARAMETROS!$C$33,"",IF(C320&lt;70,PARAMETROS!$C$40,IF(C320&lt;75,PARAMETROS!$C$41,IF(C320&lt;80,PARAMETROS!$C$42,IF(C320&lt;85,PARAMETROS!$C$43,IF(C320&lt;90,PARAMETROS!$C$44,PARAMETROS!$C$45))))))</f>
        <v>0</v>
      </c>
      <c r="N320" s="16" t="n">
        <f aca="false">IF($A320&gt;PARAMETROS!$C$33,"",K320+L320)</f>
        <v>110430.805892404</v>
      </c>
      <c r="O320" s="16" t="n">
        <f aca="false">IF($A320&gt;PARAMETROS!$C$33,"",I320+J320-N320)</f>
        <v>-28495.3679436371</v>
      </c>
      <c r="P320" s="16" t="n">
        <f aca="false">IF($A320&gt;PARAMETROS!$C$33,"",MAX(E320+I320+J320-N320,0))</f>
        <v>0</v>
      </c>
      <c r="Q320" s="18" t="str">
        <f aca="false">IF($A320&gt;PARAMETROS!$C$33,"",IF(P320&lt;=0,"AGOTADO","OK"))</f>
        <v>AGOTADO</v>
      </c>
    </row>
    <row r="321" customFormat="false" ht="15" hidden="false" customHeight="false" outlineLevel="0" collapsed="false">
      <c r="A321" s="15" t="n">
        <f aca="false">A320+1</f>
        <v>319</v>
      </c>
      <c r="B321" s="15" t="n">
        <f aca="false">IF($A321="","",ROUNDUP($A321/12,0))</f>
        <v>27</v>
      </c>
      <c r="C321" s="15" t="n">
        <f aca="false">IF($A321="","",PARAMETROS!$C$6+INT(($A321-1)/12))</f>
        <v>91</v>
      </c>
      <c r="D321" s="15" t="n">
        <f aca="false">IF($A321="","",MOD($A321-1,12)+1)</f>
        <v>7</v>
      </c>
      <c r="E321" s="16" t="n">
        <f aca="false">IF($A321&gt;PARAMETROS!$C$33,"",P320)</f>
        <v>0</v>
      </c>
      <c r="F321" s="17" t="n">
        <f aca="false">IF($A321&gt;PARAMETROS!$C$33,"",PARAMETROS!$C$38)</f>
        <v>0.00495440818448101</v>
      </c>
      <c r="G321" s="16" t="n">
        <f aca="false">IF($A321&gt;PARAMETROS!$C$33,"",E321*F321)</f>
        <v>0</v>
      </c>
      <c r="H321" s="16" t="n">
        <f aca="false">IF($A321&gt;PARAMETROS!$C$33,"",E321*PARAMETROS!$C$39)</f>
        <v>0</v>
      </c>
      <c r="I321" s="16" t="n">
        <f aca="false">IF($A321&gt;PARAMETROS!$C$33,"",G321-H321)</f>
        <v>0</v>
      </c>
      <c r="J321" s="16" t="n">
        <f aca="false">IF($A321&gt;PARAMETROS!$C$33,"",PARAMETROS!$C$9*(1+PARAMETROS!$C$17)^(B321-1))</f>
        <v>81935.4379487669</v>
      </c>
      <c r="K321" s="16" t="n">
        <f aca="false">IF($A321&gt;PARAMETROS!$C$33,"",K320*(1+PARAMETROS!$C$36))</f>
        <v>75967.8740871203</v>
      </c>
      <c r="L321" s="16" t="n">
        <f aca="false">IF($A321&gt;PARAMETROS!$C$33,"",L320*(1+PARAMETROS!$C$37)*(1+M321))</f>
        <v>34859.3686769523</v>
      </c>
      <c r="M321" s="17" t="n">
        <f aca="false">IF($A321&gt;PARAMETROS!$C$33,"",IF(C321&lt;70,PARAMETROS!$C$40,IF(C321&lt;75,PARAMETROS!$C$41,IF(C321&lt;80,PARAMETROS!$C$42,IF(C321&lt;85,PARAMETROS!$C$43,IF(C321&lt;90,PARAMETROS!$C$44,PARAMETROS!$C$45))))))</f>
        <v>0</v>
      </c>
      <c r="N321" s="16" t="n">
        <f aca="false">IF($A321&gt;PARAMETROS!$C$33,"",K321+L321)</f>
        <v>110827.242764073</v>
      </c>
      <c r="O321" s="16" t="n">
        <f aca="false">IF($A321&gt;PARAMETROS!$C$33,"",I321+J321-N321)</f>
        <v>-28891.8048153057</v>
      </c>
      <c r="P321" s="16" t="n">
        <f aca="false">IF($A321&gt;PARAMETROS!$C$33,"",MAX(E321+I321+J321-N321,0))</f>
        <v>0</v>
      </c>
      <c r="Q321" s="18" t="str">
        <f aca="false">IF($A321&gt;PARAMETROS!$C$33,"",IF(P321&lt;=0,"AGOTADO","OK"))</f>
        <v>AGOTADO</v>
      </c>
    </row>
    <row r="322" customFormat="false" ht="15" hidden="false" customHeight="false" outlineLevel="0" collapsed="false">
      <c r="A322" s="15" t="n">
        <f aca="false">A321+1</f>
        <v>320</v>
      </c>
      <c r="B322" s="15" t="n">
        <f aca="false">IF($A322="","",ROUNDUP($A322/12,0))</f>
        <v>27</v>
      </c>
      <c r="C322" s="15" t="n">
        <f aca="false">IF($A322="","",PARAMETROS!$C$6+INT(($A322-1)/12))</f>
        <v>91</v>
      </c>
      <c r="D322" s="15" t="n">
        <f aca="false">IF($A322="","",MOD($A322-1,12)+1)</f>
        <v>8</v>
      </c>
      <c r="E322" s="16" t="n">
        <f aca="false">IF($A322&gt;PARAMETROS!$C$33,"",P321)</f>
        <v>0</v>
      </c>
      <c r="F322" s="17" t="n">
        <f aca="false">IF($A322&gt;PARAMETROS!$C$33,"",PARAMETROS!$C$38)</f>
        <v>0.00495440818448101</v>
      </c>
      <c r="G322" s="16" t="n">
        <f aca="false">IF($A322&gt;PARAMETROS!$C$33,"",E322*F322)</f>
        <v>0</v>
      </c>
      <c r="H322" s="16" t="n">
        <f aca="false">IF($A322&gt;PARAMETROS!$C$33,"",E322*PARAMETROS!$C$39)</f>
        <v>0</v>
      </c>
      <c r="I322" s="16" t="n">
        <f aca="false">IF($A322&gt;PARAMETROS!$C$33,"",G322-H322)</f>
        <v>0</v>
      </c>
      <c r="J322" s="16" t="n">
        <f aca="false">IF($A322&gt;PARAMETROS!$C$33,"",PARAMETROS!$C$9*(1+PARAMETROS!$C$17)^(B322-1))</f>
        <v>81935.4379487669</v>
      </c>
      <c r="K322" s="16" t="n">
        <f aca="false">IF($A322&gt;PARAMETROS!$C$33,"",K321*(1+PARAMETROS!$C$36))</f>
        <v>76228.1669186476</v>
      </c>
      <c r="L322" s="16" t="n">
        <f aca="false">IF($A322&gt;PARAMETROS!$C$33,"",L321*(1+PARAMETROS!$C$37)*(1+M322))</f>
        <v>34996.9423317969</v>
      </c>
      <c r="M322" s="17" t="n">
        <f aca="false">IF($A322&gt;PARAMETROS!$C$33,"",IF(C322&lt;70,PARAMETROS!$C$40,IF(C322&lt;75,PARAMETROS!$C$41,IF(C322&lt;80,PARAMETROS!$C$42,IF(C322&lt;85,PARAMETROS!$C$43,IF(C322&lt;90,PARAMETROS!$C$44,PARAMETROS!$C$45))))))</f>
        <v>0</v>
      </c>
      <c r="N322" s="16" t="n">
        <f aca="false">IF($A322&gt;PARAMETROS!$C$33,"",K322+L322)</f>
        <v>111225.109250444</v>
      </c>
      <c r="O322" s="16" t="n">
        <f aca="false">IF($A322&gt;PARAMETROS!$C$33,"",I322+J322-N322)</f>
        <v>-29289.6713016776</v>
      </c>
      <c r="P322" s="16" t="n">
        <f aca="false">IF($A322&gt;PARAMETROS!$C$33,"",MAX(E322+I322+J322-N322,0))</f>
        <v>0</v>
      </c>
      <c r="Q322" s="18" t="str">
        <f aca="false">IF($A322&gt;PARAMETROS!$C$33,"",IF(P322&lt;=0,"AGOTADO","OK"))</f>
        <v>AGOTADO</v>
      </c>
    </row>
    <row r="323" customFormat="false" ht="15" hidden="false" customHeight="false" outlineLevel="0" collapsed="false">
      <c r="A323" s="15" t="n">
        <f aca="false">A322+1</f>
        <v>321</v>
      </c>
      <c r="B323" s="15" t="n">
        <f aca="false">IF($A323="","",ROUNDUP($A323/12,0))</f>
        <v>27</v>
      </c>
      <c r="C323" s="15" t="n">
        <f aca="false">IF($A323="","",PARAMETROS!$C$6+INT(($A323-1)/12))</f>
        <v>91</v>
      </c>
      <c r="D323" s="15" t="n">
        <f aca="false">IF($A323="","",MOD($A323-1,12)+1)</f>
        <v>9</v>
      </c>
      <c r="E323" s="16" t="n">
        <f aca="false">IF($A323&gt;PARAMETROS!$C$33,"",P322)</f>
        <v>0</v>
      </c>
      <c r="F323" s="17" t="n">
        <f aca="false">IF($A323&gt;PARAMETROS!$C$33,"",PARAMETROS!$C$38)</f>
        <v>0.00495440818448101</v>
      </c>
      <c r="G323" s="16" t="n">
        <f aca="false">IF($A323&gt;PARAMETROS!$C$33,"",E323*F323)</f>
        <v>0</v>
      </c>
      <c r="H323" s="16" t="n">
        <f aca="false">IF($A323&gt;PARAMETROS!$C$33,"",E323*PARAMETROS!$C$39)</f>
        <v>0</v>
      </c>
      <c r="I323" s="16" t="n">
        <f aca="false">IF($A323&gt;PARAMETROS!$C$33,"",G323-H323)</f>
        <v>0</v>
      </c>
      <c r="J323" s="16" t="n">
        <f aca="false">IF($A323&gt;PARAMETROS!$C$33,"",PARAMETROS!$C$9*(1+PARAMETROS!$C$17)^(B323-1))</f>
        <v>81935.4379487669</v>
      </c>
      <c r="K323" s="16" t="n">
        <f aca="false">IF($A323&gt;PARAMETROS!$C$33,"",K322*(1+PARAMETROS!$C$36))</f>
        <v>76489.3516055672</v>
      </c>
      <c r="L323" s="16" t="n">
        <f aca="false">IF($A323&gt;PARAMETROS!$C$33,"",L322*(1+PARAMETROS!$C$37)*(1+M323))</f>
        <v>35135.0589256339</v>
      </c>
      <c r="M323" s="17" t="n">
        <f aca="false">IF($A323&gt;PARAMETROS!$C$33,"",IF(C323&lt;70,PARAMETROS!$C$40,IF(C323&lt;75,PARAMETROS!$C$41,IF(C323&lt;80,PARAMETROS!$C$42,IF(C323&lt;85,PARAMETROS!$C$43,IF(C323&lt;90,PARAMETROS!$C$44,PARAMETROS!$C$45))))))</f>
        <v>0</v>
      </c>
      <c r="N323" s="16" t="n">
        <f aca="false">IF($A323&gt;PARAMETROS!$C$33,"",K323+L323)</f>
        <v>111624.410531201</v>
      </c>
      <c r="O323" s="16" t="n">
        <f aca="false">IF($A323&gt;PARAMETROS!$C$33,"",I323+J323-N323)</f>
        <v>-29688.9725824342</v>
      </c>
      <c r="P323" s="16" t="n">
        <f aca="false">IF($A323&gt;PARAMETROS!$C$33,"",MAX(E323+I323+J323-N323,0))</f>
        <v>0</v>
      </c>
      <c r="Q323" s="18" t="str">
        <f aca="false">IF($A323&gt;PARAMETROS!$C$33,"",IF(P323&lt;=0,"AGOTADO","OK"))</f>
        <v>AGOTADO</v>
      </c>
    </row>
    <row r="324" customFormat="false" ht="15" hidden="false" customHeight="false" outlineLevel="0" collapsed="false">
      <c r="A324" s="15" t="n">
        <f aca="false">A323+1</f>
        <v>322</v>
      </c>
      <c r="B324" s="15" t="n">
        <f aca="false">IF($A324="","",ROUNDUP($A324/12,0))</f>
        <v>27</v>
      </c>
      <c r="C324" s="15" t="n">
        <f aca="false">IF($A324="","",PARAMETROS!$C$6+INT(($A324-1)/12))</f>
        <v>91</v>
      </c>
      <c r="D324" s="15" t="n">
        <f aca="false">IF($A324="","",MOD($A324-1,12)+1)</f>
        <v>10</v>
      </c>
      <c r="E324" s="16" t="n">
        <f aca="false">IF($A324&gt;PARAMETROS!$C$33,"",P323)</f>
        <v>0</v>
      </c>
      <c r="F324" s="17" t="n">
        <f aca="false">IF($A324&gt;PARAMETROS!$C$33,"",PARAMETROS!$C$38)</f>
        <v>0.00495440818448101</v>
      </c>
      <c r="G324" s="16" t="n">
        <f aca="false">IF($A324&gt;PARAMETROS!$C$33,"",E324*F324)</f>
        <v>0</v>
      </c>
      <c r="H324" s="16" t="n">
        <f aca="false">IF($A324&gt;PARAMETROS!$C$33,"",E324*PARAMETROS!$C$39)</f>
        <v>0</v>
      </c>
      <c r="I324" s="16" t="n">
        <f aca="false">IF($A324&gt;PARAMETROS!$C$33,"",G324-H324)</f>
        <v>0</v>
      </c>
      <c r="J324" s="16" t="n">
        <f aca="false">IF($A324&gt;PARAMETROS!$C$33,"",PARAMETROS!$C$9*(1+PARAMETROS!$C$17)^(B324-1))</f>
        <v>81935.4379487669</v>
      </c>
      <c r="K324" s="16" t="n">
        <f aca="false">IF($A324&gt;PARAMETROS!$C$33,"",K323*(1+PARAMETROS!$C$36))</f>
        <v>76751.4312036913</v>
      </c>
      <c r="L324" s="16" t="n">
        <f aca="false">IF($A324&gt;PARAMETROS!$C$33,"",L323*(1+PARAMETROS!$C$37)*(1+M324))</f>
        <v>35273.7206011902</v>
      </c>
      <c r="M324" s="17" t="n">
        <f aca="false">IF($A324&gt;PARAMETROS!$C$33,"",IF(C324&lt;70,PARAMETROS!$C$40,IF(C324&lt;75,PARAMETROS!$C$41,IF(C324&lt;80,PARAMETROS!$C$42,IF(C324&lt;85,PARAMETROS!$C$43,IF(C324&lt;90,PARAMETROS!$C$44,PARAMETROS!$C$45))))))</f>
        <v>0</v>
      </c>
      <c r="N324" s="16" t="n">
        <f aca="false">IF($A324&gt;PARAMETROS!$C$33,"",K324+L324)</f>
        <v>112025.151804881</v>
      </c>
      <c r="O324" s="16" t="n">
        <f aca="false">IF($A324&gt;PARAMETROS!$C$33,"",I324+J324-N324)</f>
        <v>-30089.7138561146</v>
      </c>
      <c r="P324" s="16" t="n">
        <f aca="false">IF($A324&gt;PARAMETROS!$C$33,"",MAX(E324+I324+J324-N324,0))</f>
        <v>0</v>
      </c>
      <c r="Q324" s="18" t="str">
        <f aca="false">IF($A324&gt;PARAMETROS!$C$33,"",IF(P324&lt;=0,"AGOTADO","OK"))</f>
        <v>AGOTADO</v>
      </c>
    </row>
    <row r="325" customFormat="false" ht="15" hidden="false" customHeight="false" outlineLevel="0" collapsed="false">
      <c r="A325" s="15" t="n">
        <f aca="false">A324+1</f>
        <v>323</v>
      </c>
      <c r="B325" s="15" t="n">
        <f aca="false">IF($A325="","",ROUNDUP($A325/12,0))</f>
        <v>27</v>
      </c>
      <c r="C325" s="15" t="n">
        <f aca="false">IF($A325="","",PARAMETROS!$C$6+INT(($A325-1)/12))</f>
        <v>91</v>
      </c>
      <c r="D325" s="15" t="n">
        <f aca="false">IF($A325="","",MOD($A325-1,12)+1)</f>
        <v>11</v>
      </c>
      <c r="E325" s="16" t="n">
        <f aca="false">IF($A325&gt;PARAMETROS!$C$33,"",P324)</f>
        <v>0</v>
      </c>
      <c r="F325" s="17" t="n">
        <f aca="false">IF($A325&gt;PARAMETROS!$C$33,"",PARAMETROS!$C$38)</f>
        <v>0.00495440818448101</v>
      </c>
      <c r="G325" s="16" t="n">
        <f aca="false">IF($A325&gt;PARAMETROS!$C$33,"",E325*F325)</f>
        <v>0</v>
      </c>
      <c r="H325" s="16" t="n">
        <f aca="false">IF($A325&gt;PARAMETROS!$C$33,"",E325*PARAMETROS!$C$39)</f>
        <v>0</v>
      </c>
      <c r="I325" s="16" t="n">
        <f aca="false">IF($A325&gt;PARAMETROS!$C$33,"",G325-H325)</f>
        <v>0</v>
      </c>
      <c r="J325" s="16" t="n">
        <f aca="false">IF($A325&gt;PARAMETROS!$C$33,"",PARAMETROS!$C$9*(1+PARAMETROS!$C$17)^(B325-1))</f>
        <v>81935.4379487669</v>
      </c>
      <c r="K325" s="16" t="n">
        <f aca="false">IF($A325&gt;PARAMETROS!$C$33,"",K324*(1+PARAMETROS!$C$36))</f>
        <v>77014.4087793027</v>
      </c>
      <c r="L325" s="16" t="n">
        <f aca="false">IF($A325&gt;PARAMETROS!$C$33,"",L324*(1+PARAMETROS!$C$37)*(1+M325))</f>
        <v>35412.9295096487</v>
      </c>
      <c r="M325" s="17" t="n">
        <f aca="false">IF($A325&gt;PARAMETROS!$C$33,"",IF(C325&lt;70,PARAMETROS!$C$40,IF(C325&lt;75,PARAMETROS!$C$41,IF(C325&lt;80,PARAMETROS!$C$42,IF(C325&lt;85,PARAMETROS!$C$43,IF(C325&lt;90,PARAMETROS!$C$44,PARAMETROS!$C$45))))))</f>
        <v>0</v>
      </c>
      <c r="N325" s="16" t="n">
        <f aca="false">IF($A325&gt;PARAMETROS!$C$33,"",K325+L325)</f>
        <v>112427.338288951</v>
      </c>
      <c r="O325" s="16" t="n">
        <f aca="false">IF($A325&gt;PARAMETROS!$C$33,"",I325+J325-N325)</f>
        <v>-30491.9003401845</v>
      </c>
      <c r="P325" s="16" t="n">
        <f aca="false">IF($A325&gt;PARAMETROS!$C$33,"",MAX(E325+I325+J325-N325,0))</f>
        <v>0</v>
      </c>
      <c r="Q325" s="18" t="str">
        <f aca="false">IF($A325&gt;PARAMETROS!$C$33,"",IF(P325&lt;=0,"AGOTADO","OK"))</f>
        <v>AGOTADO</v>
      </c>
    </row>
    <row r="326" customFormat="false" ht="15" hidden="false" customHeight="false" outlineLevel="0" collapsed="false">
      <c r="A326" s="15" t="n">
        <f aca="false">A325+1</f>
        <v>324</v>
      </c>
      <c r="B326" s="15" t="n">
        <f aca="false">IF($A326="","",ROUNDUP($A326/12,0))</f>
        <v>27</v>
      </c>
      <c r="C326" s="15" t="n">
        <f aca="false">IF($A326="","",PARAMETROS!$C$6+INT(($A326-1)/12))</f>
        <v>91</v>
      </c>
      <c r="D326" s="15" t="n">
        <f aca="false">IF($A326="","",MOD($A326-1,12)+1)</f>
        <v>12</v>
      </c>
      <c r="E326" s="16" t="n">
        <f aca="false">IF($A326&gt;PARAMETROS!$C$33,"",P325)</f>
        <v>0</v>
      </c>
      <c r="F326" s="17" t="n">
        <f aca="false">IF($A326&gt;PARAMETROS!$C$33,"",PARAMETROS!$C$38)</f>
        <v>0.00495440818448101</v>
      </c>
      <c r="G326" s="16" t="n">
        <f aca="false">IF($A326&gt;PARAMETROS!$C$33,"",E326*F326)</f>
        <v>0</v>
      </c>
      <c r="H326" s="16" t="n">
        <f aca="false">IF($A326&gt;PARAMETROS!$C$33,"",E326*PARAMETROS!$C$39)</f>
        <v>0</v>
      </c>
      <c r="I326" s="16" t="n">
        <f aca="false">IF($A326&gt;PARAMETROS!$C$33,"",G326-H326)</f>
        <v>0</v>
      </c>
      <c r="J326" s="16" t="n">
        <f aca="false">IF($A326&gt;PARAMETROS!$C$33,"",PARAMETROS!$C$9*(1+PARAMETROS!$C$17)^(B326-1))</f>
        <v>81935.4379487669</v>
      </c>
      <c r="K326" s="16" t="n">
        <f aca="false">IF($A326&gt;PARAMETROS!$C$33,"",K325*(1+PARAMETROS!$C$36))</f>
        <v>77278.28740919</v>
      </c>
      <c r="L326" s="16" t="n">
        <f aca="false">IF($A326&gt;PARAMETROS!$C$33,"",L325*(1+PARAMETROS!$C$37)*(1+M326))</f>
        <v>35552.6878106824</v>
      </c>
      <c r="M326" s="17" t="n">
        <f aca="false">IF($A326&gt;PARAMETROS!$C$33,"",IF(C326&lt;70,PARAMETROS!$C$40,IF(C326&lt;75,PARAMETROS!$C$41,IF(C326&lt;80,PARAMETROS!$C$42,IF(C326&lt;85,PARAMETROS!$C$43,IF(C326&lt;90,PARAMETROS!$C$44,PARAMETROS!$C$45))))))</f>
        <v>0</v>
      </c>
      <c r="N326" s="16" t="n">
        <f aca="false">IF($A326&gt;PARAMETROS!$C$33,"",K326+L326)</f>
        <v>112830.975219872</v>
      </c>
      <c r="O326" s="16" t="n">
        <f aca="false">IF($A326&gt;PARAMETROS!$C$33,"",I326+J326-N326)</f>
        <v>-30895.5372711055</v>
      </c>
      <c r="P326" s="16" t="n">
        <f aca="false">IF($A326&gt;PARAMETROS!$C$33,"",MAX(E326+I326+J326-N326,0))</f>
        <v>0</v>
      </c>
      <c r="Q326" s="18" t="str">
        <f aca="false">IF($A326&gt;PARAMETROS!$C$33,"",IF(P326&lt;=0,"AGOTADO","OK"))</f>
        <v>AGOTADO</v>
      </c>
    </row>
    <row r="327" customFormat="false" ht="15" hidden="false" customHeight="false" outlineLevel="0" collapsed="false">
      <c r="A327" s="19" t="n">
        <f aca="false">A326+1</f>
        <v>325</v>
      </c>
      <c r="B327" s="19" t="n">
        <f aca="false">IF($A327="","",ROUNDUP($A327/12,0))</f>
        <v>28</v>
      </c>
      <c r="C327" s="19" t="n">
        <f aca="false">IF($A327="","",PARAMETROS!$C$6+INT(($A327-1)/12))</f>
        <v>92</v>
      </c>
      <c r="D327" s="19" t="n">
        <f aca="false">IF($A327="","",MOD($A327-1,12)+1)</f>
        <v>1</v>
      </c>
      <c r="E327" s="20" t="n">
        <f aca="false">IF($A327&gt;PARAMETROS!$C$33,"",P326)</f>
        <v>0</v>
      </c>
      <c r="F327" s="21" t="n">
        <f aca="false">IF($A327&gt;PARAMETROS!$C$33,"",PARAMETROS!$C$38)</f>
        <v>0.00495440818448101</v>
      </c>
      <c r="G327" s="20" t="n">
        <f aca="false">IF($A327&gt;PARAMETROS!$C$33,"",E327*F327)</f>
        <v>0</v>
      </c>
      <c r="H327" s="20" t="n">
        <f aca="false">IF($A327&gt;PARAMETROS!$C$33,"",E327*PARAMETROS!$C$39)</f>
        <v>0</v>
      </c>
      <c r="I327" s="20" t="n">
        <f aca="false">IF($A327&gt;PARAMETROS!$C$33,"",G327-H327)</f>
        <v>0</v>
      </c>
      <c r="J327" s="20" t="n">
        <f aca="false">IF($A327&gt;PARAMETROS!$C$33,"",PARAMETROS!$C$9*(1+PARAMETROS!$C$17)^(B327-1))</f>
        <v>85163.6942039483</v>
      </c>
      <c r="K327" s="20" t="n">
        <f aca="false">IF($A327&gt;PARAMETROS!$C$33,"",K326*(1+PARAMETROS!$C$36))</f>
        <v>77543.0701806843</v>
      </c>
      <c r="L327" s="20" t="n">
        <f aca="false">IF($A327&gt;PARAMETROS!$C$33,"",L326*(1+PARAMETROS!$C$37)*(1+M327))</f>
        <v>35692.9976724872</v>
      </c>
      <c r="M327" s="21" t="n">
        <f aca="false">IF($A327&gt;PARAMETROS!$C$33,"",IF(C327&lt;70,PARAMETROS!$C$40,IF(C327&lt;75,PARAMETROS!$C$41,IF(C327&lt;80,PARAMETROS!$C$42,IF(C327&lt;85,PARAMETROS!$C$43,IF(C327&lt;90,PARAMETROS!$C$44,PARAMETROS!$C$45))))))</f>
        <v>0</v>
      </c>
      <c r="N327" s="20" t="n">
        <f aca="false">IF($A327&gt;PARAMETROS!$C$33,"",K327+L327)</f>
        <v>113236.067853171</v>
      </c>
      <c r="O327" s="20" t="n">
        <f aca="false">IF($A327&gt;PARAMETROS!$C$33,"",I327+J327-N327)</f>
        <v>-28072.3736492232</v>
      </c>
      <c r="P327" s="20" t="n">
        <f aca="false">IF($A327&gt;PARAMETROS!$C$33,"",MAX(E327+I327+J327-N327,0))</f>
        <v>0</v>
      </c>
      <c r="Q327" s="22" t="str">
        <f aca="false">IF($A327&gt;PARAMETROS!$C$33,"",IF(P327&lt;=0,"AGOTADO","OK"))</f>
        <v>AGOTADO</v>
      </c>
    </row>
    <row r="328" customFormat="false" ht="15" hidden="false" customHeight="false" outlineLevel="0" collapsed="false">
      <c r="A328" s="19" t="n">
        <f aca="false">A327+1</f>
        <v>326</v>
      </c>
      <c r="B328" s="19" t="n">
        <f aca="false">IF($A328="","",ROUNDUP($A328/12,0))</f>
        <v>28</v>
      </c>
      <c r="C328" s="19" t="n">
        <f aca="false">IF($A328="","",PARAMETROS!$C$6+INT(($A328-1)/12))</f>
        <v>92</v>
      </c>
      <c r="D328" s="19" t="n">
        <f aca="false">IF($A328="","",MOD($A328-1,12)+1)</f>
        <v>2</v>
      </c>
      <c r="E328" s="20" t="n">
        <f aca="false">IF($A328&gt;PARAMETROS!$C$33,"",P327)</f>
        <v>0</v>
      </c>
      <c r="F328" s="21" t="n">
        <f aca="false">IF($A328&gt;PARAMETROS!$C$33,"",PARAMETROS!$C$38)</f>
        <v>0.00495440818448101</v>
      </c>
      <c r="G328" s="20" t="n">
        <f aca="false">IF($A328&gt;PARAMETROS!$C$33,"",E328*F328)</f>
        <v>0</v>
      </c>
      <c r="H328" s="20" t="n">
        <f aca="false">IF($A328&gt;PARAMETROS!$C$33,"",E328*PARAMETROS!$C$39)</f>
        <v>0</v>
      </c>
      <c r="I328" s="20" t="n">
        <f aca="false">IF($A328&gt;PARAMETROS!$C$33,"",G328-H328)</f>
        <v>0</v>
      </c>
      <c r="J328" s="20" t="n">
        <f aca="false">IF($A328&gt;PARAMETROS!$C$33,"",PARAMETROS!$C$9*(1+PARAMETROS!$C$17)^(B328-1))</f>
        <v>85163.6942039483</v>
      </c>
      <c r="K328" s="20" t="n">
        <f aca="false">IF($A328&gt;PARAMETROS!$C$33,"",K327*(1+PARAMETROS!$C$36))</f>
        <v>77808.7601916948</v>
      </c>
      <c r="L328" s="20" t="n">
        <f aca="false">IF($A328&gt;PARAMETROS!$C$33,"",L327*(1+PARAMETROS!$C$37)*(1+M328))</f>
        <v>35833.8612718159</v>
      </c>
      <c r="M328" s="21" t="n">
        <f aca="false">IF($A328&gt;PARAMETROS!$C$33,"",IF(C328&lt;70,PARAMETROS!$C$40,IF(C328&lt;75,PARAMETROS!$C$41,IF(C328&lt;80,PARAMETROS!$C$42,IF(C328&lt;85,PARAMETROS!$C$43,IF(C328&lt;90,PARAMETROS!$C$44,PARAMETROS!$C$45))))))</f>
        <v>0</v>
      </c>
      <c r="N328" s="20" t="n">
        <f aca="false">IF($A328&gt;PARAMETROS!$C$33,"",K328+L328)</f>
        <v>113642.621463511</v>
      </c>
      <c r="O328" s="20" t="n">
        <f aca="false">IF($A328&gt;PARAMETROS!$C$33,"",I328+J328-N328)</f>
        <v>-28478.9272595624</v>
      </c>
      <c r="P328" s="20" t="n">
        <f aca="false">IF($A328&gt;PARAMETROS!$C$33,"",MAX(E328+I328+J328-N328,0))</f>
        <v>0</v>
      </c>
      <c r="Q328" s="22" t="str">
        <f aca="false">IF($A328&gt;PARAMETROS!$C$33,"",IF(P328&lt;=0,"AGOTADO","OK"))</f>
        <v>AGOTADO</v>
      </c>
    </row>
    <row r="329" customFormat="false" ht="15" hidden="false" customHeight="false" outlineLevel="0" collapsed="false">
      <c r="A329" s="19" t="n">
        <f aca="false">A328+1</f>
        <v>327</v>
      </c>
      <c r="B329" s="19" t="n">
        <f aca="false">IF($A329="","",ROUNDUP($A329/12,0))</f>
        <v>28</v>
      </c>
      <c r="C329" s="19" t="n">
        <f aca="false">IF($A329="","",PARAMETROS!$C$6+INT(($A329-1)/12))</f>
        <v>92</v>
      </c>
      <c r="D329" s="19" t="n">
        <f aca="false">IF($A329="","",MOD($A329-1,12)+1)</f>
        <v>3</v>
      </c>
      <c r="E329" s="20" t="n">
        <f aca="false">IF($A329&gt;PARAMETROS!$C$33,"",P328)</f>
        <v>0</v>
      </c>
      <c r="F329" s="21" t="n">
        <f aca="false">IF($A329&gt;PARAMETROS!$C$33,"",PARAMETROS!$C$38)</f>
        <v>0.00495440818448101</v>
      </c>
      <c r="G329" s="20" t="n">
        <f aca="false">IF($A329&gt;PARAMETROS!$C$33,"",E329*F329)</f>
        <v>0</v>
      </c>
      <c r="H329" s="20" t="n">
        <f aca="false">IF($A329&gt;PARAMETROS!$C$33,"",E329*PARAMETROS!$C$39)</f>
        <v>0</v>
      </c>
      <c r="I329" s="20" t="n">
        <f aca="false">IF($A329&gt;PARAMETROS!$C$33,"",G329-H329)</f>
        <v>0</v>
      </c>
      <c r="J329" s="20" t="n">
        <f aca="false">IF($A329&gt;PARAMETROS!$C$33,"",PARAMETROS!$C$9*(1+PARAMETROS!$C$17)^(B329-1))</f>
        <v>85163.6942039483</v>
      </c>
      <c r="K329" s="20" t="n">
        <f aca="false">IF($A329&gt;PARAMETROS!$C$33,"",K328*(1+PARAMETROS!$C$36))</f>
        <v>78075.3605507452</v>
      </c>
      <c r="L329" s="20" t="n">
        <f aca="false">IF($A329&gt;PARAMETROS!$C$33,"",L328*(1+PARAMETROS!$C$37)*(1+M329))</f>
        <v>35975.2807940122</v>
      </c>
      <c r="M329" s="21" t="n">
        <f aca="false">IF($A329&gt;PARAMETROS!$C$33,"",IF(C329&lt;70,PARAMETROS!$C$40,IF(C329&lt;75,PARAMETROS!$C$41,IF(C329&lt;80,PARAMETROS!$C$42,IF(C329&lt;85,PARAMETROS!$C$43,IF(C329&lt;90,PARAMETROS!$C$44,PARAMETROS!$C$45))))))</f>
        <v>0</v>
      </c>
      <c r="N329" s="20" t="n">
        <f aca="false">IF($A329&gt;PARAMETROS!$C$33,"",K329+L329)</f>
        <v>114050.641344757</v>
      </c>
      <c r="O329" s="20" t="n">
        <f aca="false">IF($A329&gt;PARAMETROS!$C$33,"",I329+J329-N329)</f>
        <v>-28886.9471408091</v>
      </c>
      <c r="P329" s="20" t="n">
        <f aca="false">IF($A329&gt;PARAMETROS!$C$33,"",MAX(E329+I329+J329-N329,0))</f>
        <v>0</v>
      </c>
      <c r="Q329" s="22" t="str">
        <f aca="false">IF($A329&gt;PARAMETROS!$C$33,"",IF(P329&lt;=0,"AGOTADO","OK"))</f>
        <v>AGOTADO</v>
      </c>
    </row>
    <row r="330" customFormat="false" ht="15" hidden="false" customHeight="false" outlineLevel="0" collapsed="false">
      <c r="A330" s="19" t="n">
        <f aca="false">A329+1</f>
        <v>328</v>
      </c>
      <c r="B330" s="19" t="n">
        <f aca="false">IF($A330="","",ROUNDUP($A330/12,0))</f>
        <v>28</v>
      </c>
      <c r="C330" s="19" t="n">
        <f aca="false">IF($A330="","",PARAMETROS!$C$6+INT(($A330-1)/12))</f>
        <v>92</v>
      </c>
      <c r="D330" s="19" t="n">
        <f aca="false">IF($A330="","",MOD($A330-1,12)+1)</f>
        <v>4</v>
      </c>
      <c r="E330" s="20" t="n">
        <f aca="false">IF($A330&gt;PARAMETROS!$C$33,"",P329)</f>
        <v>0</v>
      </c>
      <c r="F330" s="21" t="n">
        <f aca="false">IF($A330&gt;PARAMETROS!$C$33,"",PARAMETROS!$C$38)</f>
        <v>0.00495440818448101</v>
      </c>
      <c r="G330" s="20" t="n">
        <f aca="false">IF($A330&gt;PARAMETROS!$C$33,"",E330*F330)</f>
        <v>0</v>
      </c>
      <c r="H330" s="20" t="n">
        <f aca="false">IF($A330&gt;PARAMETROS!$C$33,"",E330*PARAMETROS!$C$39)</f>
        <v>0</v>
      </c>
      <c r="I330" s="20" t="n">
        <f aca="false">IF($A330&gt;PARAMETROS!$C$33,"",G330-H330)</f>
        <v>0</v>
      </c>
      <c r="J330" s="20" t="n">
        <f aca="false">IF($A330&gt;PARAMETROS!$C$33,"",PARAMETROS!$C$9*(1+PARAMETROS!$C$17)^(B330-1))</f>
        <v>85163.6942039483</v>
      </c>
      <c r="K330" s="20" t="n">
        <f aca="false">IF($A330&gt;PARAMETROS!$C$33,"",K329*(1+PARAMETROS!$C$36))</f>
        <v>78342.8743770102</v>
      </c>
      <c r="L330" s="20" t="n">
        <f aca="false">IF($A330&gt;PARAMETROS!$C$33,"",L329*(1+PARAMETROS!$C$37)*(1+M330))</f>
        <v>36117.258433044</v>
      </c>
      <c r="M330" s="21" t="n">
        <f aca="false">IF($A330&gt;PARAMETROS!$C$33,"",IF(C330&lt;70,PARAMETROS!$C$40,IF(C330&lt;75,PARAMETROS!$C$41,IF(C330&lt;80,PARAMETROS!$C$42,IF(C330&lt;85,PARAMETROS!$C$43,IF(C330&lt;90,PARAMETROS!$C$44,PARAMETROS!$C$45))))))</f>
        <v>0</v>
      </c>
      <c r="N330" s="20" t="n">
        <f aca="false">IF($A330&gt;PARAMETROS!$C$33,"",K330+L330)</f>
        <v>114460.132810054</v>
      </c>
      <c r="O330" s="20" t="n">
        <f aca="false">IF($A330&gt;PARAMETROS!$C$33,"",I330+J330-N330)</f>
        <v>-29296.4386061059</v>
      </c>
      <c r="P330" s="20" t="n">
        <f aca="false">IF($A330&gt;PARAMETROS!$C$33,"",MAX(E330+I330+J330-N330,0))</f>
        <v>0</v>
      </c>
      <c r="Q330" s="22" t="str">
        <f aca="false">IF($A330&gt;PARAMETROS!$C$33,"",IF(P330&lt;=0,"AGOTADO","OK"))</f>
        <v>AGOTADO</v>
      </c>
    </row>
    <row r="331" customFormat="false" ht="15" hidden="false" customHeight="false" outlineLevel="0" collapsed="false">
      <c r="A331" s="19" t="n">
        <f aca="false">A330+1</f>
        <v>329</v>
      </c>
      <c r="B331" s="19" t="n">
        <f aca="false">IF($A331="","",ROUNDUP($A331/12,0))</f>
        <v>28</v>
      </c>
      <c r="C331" s="19" t="n">
        <f aca="false">IF($A331="","",PARAMETROS!$C$6+INT(($A331-1)/12))</f>
        <v>92</v>
      </c>
      <c r="D331" s="19" t="n">
        <f aca="false">IF($A331="","",MOD($A331-1,12)+1)</f>
        <v>5</v>
      </c>
      <c r="E331" s="20" t="n">
        <f aca="false">IF($A331&gt;PARAMETROS!$C$33,"",P330)</f>
        <v>0</v>
      </c>
      <c r="F331" s="21" t="n">
        <f aca="false">IF($A331&gt;PARAMETROS!$C$33,"",PARAMETROS!$C$38)</f>
        <v>0.00495440818448101</v>
      </c>
      <c r="G331" s="20" t="n">
        <f aca="false">IF($A331&gt;PARAMETROS!$C$33,"",E331*F331)</f>
        <v>0</v>
      </c>
      <c r="H331" s="20" t="n">
        <f aca="false">IF($A331&gt;PARAMETROS!$C$33,"",E331*PARAMETROS!$C$39)</f>
        <v>0</v>
      </c>
      <c r="I331" s="20" t="n">
        <f aca="false">IF($A331&gt;PARAMETROS!$C$33,"",G331-H331)</f>
        <v>0</v>
      </c>
      <c r="J331" s="20" t="n">
        <f aca="false">IF($A331&gt;PARAMETROS!$C$33,"",PARAMETROS!$C$9*(1+PARAMETROS!$C$17)^(B331-1))</f>
        <v>85163.6942039483</v>
      </c>
      <c r="K331" s="20" t="n">
        <f aca="false">IF($A331&gt;PARAMETROS!$C$33,"",K330*(1+PARAMETROS!$C$36))</f>
        <v>78611.304800352</v>
      </c>
      <c r="L331" s="20" t="n">
        <f aca="false">IF($A331&gt;PARAMETROS!$C$33,"",L330*(1+PARAMETROS!$C$37)*(1+M331))</f>
        <v>36259.796391538</v>
      </c>
      <c r="M331" s="21" t="n">
        <f aca="false">IF($A331&gt;PARAMETROS!$C$33,"",IF(C331&lt;70,PARAMETROS!$C$40,IF(C331&lt;75,PARAMETROS!$C$41,IF(C331&lt;80,PARAMETROS!$C$42,IF(C331&lt;85,PARAMETROS!$C$43,IF(C331&lt;90,PARAMETROS!$C$44,PARAMETROS!$C$45))))))</f>
        <v>0</v>
      </c>
      <c r="N331" s="20" t="n">
        <f aca="false">IF($A331&gt;PARAMETROS!$C$33,"",K331+L331)</f>
        <v>114871.10119189</v>
      </c>
      <c r="O331" s="20" t="n">
        <f aca="false">IF($A331&gt;PARAMETROS!$C$33,"",I331+J331-N331)</f>
        <v>-29707.4069879416</v>
      </c>
      <c r="P331" s="20" t="n">
        <f aca="false">IF($A331&gt;PARAMETROS!$C$33,"",MAX(E331+I331+J331-N331,0))</f>
        <v>0</v>
      </c>
      <c r="Q331" s="22" t="str">
        <f aca="false">IF($A331&gt;PARAMETROS!$C$33,"",IF(P331&lt;=0,"AGOTADO","OK"))</f>
        <v>AGOTADO</v>
      </c>
    </row>
    <row r="332" customFormat="false" ht="15" hidden="false" customHeight="false" outlineLevel="0" collapsed="false">
      <c r="A332" s="19" t="n">
        <f aca="false">A331+1</f>
        <v>330</v>
      </c>
      <c r="B332" s="19" t="n">
        <f aca="false">IF($A332="","",ROUNDUP($A332/12,0))</f>
        <v>28</v>
      </c>
      <c r="C332" s="19" t="n">
        <f aca="false">IF($A332="","",PARAMETROS!$C$6+INT(($A332-1)/12))</f>
        <v>92</v>
      </c>
      <c r="D332" s="19" t="n">
        <f aca="false">IF($A332="","",MOD($A332-1,12)+1)</f>
        <v>6</v>
      </c>
      <c r="E332" s="20" t="n">
        <f aca="false">IF($A332&gt;PARAMETROS!$C$33,"",P331)</f>
        <v>0</v>
      </c>
      <c r="F332" s="21" t="n">
        <f aca="false">IF($A332&gt;PARAMETROS!$C$33,"",PARAMETROS!$C$38)</f>
        <v>0.00495440818448101</v>
      </c>
      <c r="G332" s="20" t="n">
        <f aca="false">IF($A332&gt;PARAMETROS!$C$33,"",E332*F332)</f>
        <v>0</v>
      </c>
      <c r="H332" s="20" t="n">
        <f aca="false">IF($A332&gt;PARAMETROS!$C$33,"",E332*PARAMETROS!$C$39)</f>
        <v>0</v>
      </c>
      <c r="I332" s="20" t="n">
        <f aca="false">IF($A332&gt;PARAMETROS!$C$33,"",G332-H332)</f>
        <v>0</v>
      </c>
      <c r="J332" s="20" t="n">
        <f aca="false">IF($A332&gt;PARAMETROS!$C$33,"",PARAMETROS!$C$9*(1+PARAMETROS!$C$17)^(B332-1))</f>
        <v>85163.6942039483</v>
      </c>
      <c r="K332" s="20" t="n">
        <f aca="false">IF($A332&gt;PARAMETROS!$C$33,"",K331*(1+PARAMETROS!$C$36))</f>
        <v>78880.6549613565</v>
      </c>
      <c r="L332" s="20" t="n">
        <f aca="false">IF($A332&gt;PARAMETROS!$C$33,"",L331*(1+PARAMETROS!$C$37)*(1+M332))</f>
        <v>36402.8968808134</v>
      </c>
      <c r="M332" s="21" t="n">
        <f aca="false">IF($A332&gt;PARAMETROS!$C$33,"",IF(C332&lt;70,PARAMETROS!$C$40,IF(C332&lt;75,PARAMETROS!$C$41,IF(C332&lt;80,PARAMETROS!$C$42,IF(C332&lt;85,PARAMETROS!$C$43,IF(C332&lt;90,PARAMETROS!$C$44,PARAMETROS!$C$45))))))</f>
        <v>0</v>
      </c>
      <c r="N332" s="20" t="n">
        <f aca="false">IF($A332&gt;PARAMETROS!$C$33,"",K332+L332)</f>
        <v>115283.55184217</v>
      </c>
      <c r="O332" s="20" t="n">
        <f aca="false">IF($A332&gt;PARAMETROS!$C$33,"",I332+J332-N332)</f>
        <v>-30119.8576382216</v>
      </c>
      <c r="P332" s="20" t="n">
        <f aca="false">IF($A332&gt;PARAMETROS!$C$33,"",MAX(E332+I332+J332-N332,0))</f>
        <v>0</v>
      </c>
      <c r="Q332" s="22" t="str">
        <f aca="false">IF($A332&gt;PARAMETROS!$C$33,"",IF(P332&lt;=0,"AGOTADO","OK"))</f>
        <v>AGOTADO</v>
      </c>
    </row>
    <row r="333" customFormat="false" ht="15" hidden="false" customHeight="false" outlineLevel="0" collapsed="false">
      <c r="A333" s="19" t="n">
        <f aca="false">A332+1</f>
        <v>331</v>
      </c>
      <c r="B333" s="19" t="n">
        <f aca="false">IF($A333="","",ROUNDUP($A333/12,0))</f>
        <v>28</v>
      </c>
      <c r="C333" s="19" t="n">
        <f aca="false">IF($A333="","",PARAMETROS!$C$6+INT(($A333-1)/12))</f>
        <v>92</v>
      </c>
      <c r="D333" s="19" t="n">
        <f aca="false">IF($A333="","",MOD($A333-1,12)+1)</f>
        <v>7</v>
      </c>
      <c r="E333" s="20" t="n">
        <f aca="false">IF($A333&gt;PARAMETROS!$C$33,"",P332)</f>
        <v>0</v>
      </c>
      <c r="F333" s="21" t="n">
        <f aca="false">IF($A333&gt;PARAMETROS!$C$33,"",PARAMETROS!$C$38)</f>
        <v>0.00495440818448101</v>
      </c>
      <c r="G333" s="20" t="n">
        <f aca="false">IF($A333&gt;PARAMETROS!$C$33,"",E333*F333)</f>
        <v>0</v>
      </c>
      <c r="H333" s="20" t="n">
        <f aca="false">IF($A333&gt;PARAMETROS!$C$33,"",E333*PARAMETROS!$C$39)</f>
        <v>0</v>
      </c>
      <c r="I333" s="20" t="n">
        <f aca="false">IF($A333&gt;PARAMETROS!$C$33,"",G333-H333)</f>
        <v>0</v>
      </c>
      <c r="J333" s="20" t="n">
        <f aca="false">IF($A333&gt;PARAMETROS!$C$33,"",PARAMETROS!$C$9*(1+PARAMETROS!$C$17)^(B333-1))</f>
        <v>85163.6942039483</v>
      </c>
      <c r="K333" s="20" t="n">
        <f aca="false">IF($A333&gt;PARAMETROS!$C$33,"",K332*(1+PARAMETROS!$C$36))</f>
        <v>79150.9280113706</v>
      </c>
      <c r="L333" s="20" t="n">
        <f aca="false">IF($A333&gt;PARAMETROS!$C$33,"",L332*(1+PARAMETROS!$C$37)*(1+M333))</f>
        <v>36546.5621209168</v>
      </c>
      <c r="M333" s="21" t="n">
        <f aca="false">IF($A333&gt;PARAMETROS!$C$33,"",IF(C333&lt;70,PARAMETROS!$C$40,IF(C333&lt;75,PARAMETROS!$C$41,IF(C333&lt;80,PARAMETROS!$C$42,IF(C333&lt;85,PARAMETROS!$C$43,IF(C333&lt;90,PARAMETROS!$C$44,PARAMETROS!$C$45))))))</f>
        <v>0</v>
      </c>
      <c r="N333" s="20" t="n">
        <f aca="false">IF($A333&gt;PARAMETROS!$C$33,"",K333+L333)</f>
        <v>115697.490132287</v>
      </c>
      <c r="O333" s="20" t="n">
        <f aca="false">IF($A333&gt;PARAMETROS!$C$33,"",I333+J333-N333)</f>
        <v>-30533.7959283391</v>
      </c>
      <c r="P333" s="20" t="n">
        <f aca="false">IF($A333&gt;PARAMETROS!$C$33,"",MAX(E333+I333+J333-N333,0))</f>
        <v>0</v>
      </c>
      <c r="Q333" s="22" t="str">
        <f aca="false">IF($A333&gt;PARAMETROS!$C$33,"",IF(P333&lt;=0,"AGOTADO","OK"))</f>
        <v>AGOTADO</v>
      </c>
    </row>
    <row r="334" customFormat="false" ht="15" hidden="false" customHeight="false" outlineLevel="0" collapsed="false">
      <c r="A334" s="19" t="n">
        <f aca="false">A333+1</f>
        <v>332</v>
      </c>
      <c r="B334" s="19" t="n">
        <f aca="false">IF($A334="","",ROUNDUP($A334/12,0))</f>
        <v>28</v>
      </c>
      <c r="C334" s="19" t="n">
        <f aca="false">IF($A334="","",PARAMETROS!$C$6+INT(($A334-1)/12))</f>
        <v>92</v>
      </c>
      <c r="D334" s="19" t="n">
        <f aca="false">IF($A334="","",MOD($A334-1,12)+1)</f>
        <v>8</v>
      </c>
      <c r="E334" s="20" t="n">
        <f aca="false">IF($A334&gt;PARAMETROS!$C$33,"",P333)</f>
        <v>0</v>
      </c>
      <c r="F334" s="21" t="n">
        <f aca="false">IF($A334&gt;PARAMETROS!$C$33,"",PARAMETROS!$C$38)</f>
        <v>0.00495440818448101</v>
      </c>
      <c r="G334" s="20" t="n">
        <f aca="false">IF($A334&gt;PARAMETROS!$C$33,"",E334*F334)</f>
        <v>0</v>
      </c>
      <c r="H334" s="20" t="n">
        <f aca="false">IF($A334&gt;PARAMETROS!$C$33,"",E334*PARAMETROS!$C$39)</f>
        <v>0</v>
      </c>
      <c r="I334" s="20" t="n">
        <f aca="false">IF($A334&gt;PARAMETROS!$C$33,"",G334-H334)</f>
        <v>0</v>
      </c>
      <c r="J334" s="20" t="n">
        <f aca="false">IF($A334&gt;PARAMETROS!$C$33,"",PARAMETROS!$C$9*(1+PARAMETROS!$C$17)^(B334-1))</f>
        <v>85163.6942039483</v>
      </c>
      <c r="K334" s="20" t="n">
        <f aca="false">IF($A334&gt;PARAMETROS!$C$33,"",K333*(1+PARAMETROS!$C$36))</f>
        <v>79422.1271125389</v>
      </c>
      <c r="L334" s="20" t="n">
        <f aca="false">IF($A334&gt;PARAMETROS!$C$33,"",L333*(1+PARAMETROS!$C$37)*(1+M334))</f>
        <v>36690.7943406558</v>
      </c>
      <c r="M334" s="21" t="n">
        <f aca="false">IF($A334&gt;PARAMETROS!$C$33,"",IF(C334&lt;70,PARAMETROS!$C$40,IF(C334&lt;75,PARAMETROS!$C$41,IF(C334&lt;80,PARAMETROS!$C$42,IF(C334&lt;85,PARAMETROS!$C$43,IF(C334&lt;90,PARAMETROS!$C$44,PARAMETROS!$C$45))))))</f>
        <v>0</v>
      </c>
      <c r="N334" s="20" t="n">
        <f aca="false">IF($A334&gt;PARAMETROS!$C$33,"",K334+L334)</f>
        <v>116112.921453195</v>
      </c>
      <c r="O334" s="20" t="n">
        <f aca="false">IF($A334&gt;PARAMETROS!$C$33,"",I334+J334-N334)</f>
        <v>-30949.2272492464</v>
      </c>
      <c r="P334" s="20" t="n">
        <f aca="false">IF($A334&gt;PARAMETROS!$C$33,"",MAX(E334+I334+J334-N334,0))</f>
        <v>0</v>
      </c>
      <c r="Q334" s="22" t="str">
        <f aca="false">IF($A334&gt;PARAMETROS!$C$33,"",IF(P334&lt;=0,"AGOTADO","OK"))</f>
        <v>AGOTADO</v>
      </c>
    </row>
    <row r="335" customFormat="false" ht="15" hidden="false" customHeight="false" outlineLevel="0" collapsed="false">
      <c r="A335" s="19" t="n">
        <f aca="false">A334+1</f>
        <v>333</v>
      </c>
      <c r="B335" s="19" t="n">
        <f aca="false">IF($A335="","",ROUNDUP($A335/12,0))</f>
        <v>28</v>
      </c>
      <c r="C335" s="19" t="n">
        <f aca="false">IF($A335="","",PARAMETROS!$C$6+INT(($A335-1)/12))</f>
        <v>92</v>
      </c>
      <c r="D335" s="19" t="n">
        <f aca="false">IF($A335="","",MOD($A335-1,12)+1)</f>
        <v>9</v>
      </c>
      <c r="E335" s="20" t="n">
        <f aca="false">IF($A335&gt;PARAMETROS!$C$33,"",P334)</f>
        <v>0</v>
      </c>
      <c r="F335" s="21" t="n">
        <f aca="false">IF($A335&gt;PARAMETROS!$C$33,"",PARAMETROS!$C$38)</f>
        <v>0.00495440818448101</v>
      </c>
      <c r="G335" s="20" t="n">
        <f aca="false">IF($A335&gt;PARAMETROS!$C$33,"",E335*F335)</f>
        <v>0</v>
      </c>
      <c r="H335" s="20" t="n">
        <f aca="false">IF($A335&gt;PARAMETROS!$C$33,"",E335*PARAMETROS!$C$39)</f>
        <v>0</v>
      </c>
      <c r="I335" s="20" t="n">
        <f aca="false">IF($A335&gt;PARAMETROS!$C$33,"",G335-H335)</f>
        <v>0</v>
      </c>
      <c r="J335" s="20" t="n">
        <f aca="false">IF($A335&gt;PARAMETROS!$C$33,"",PARAMETROS!$C$9*(1+PARAMETROS!$C$17)^(B335-1))</f>
        <v>85163.6942039483</v>
      </c>
      <c r="K335" s="20" t="n">
        <f aca="false">IF($A335&gt;PARAMETROS!$C$33,"",K334*(1+PARAMETROS!$C$36))</f>
        <v>79694.2554378404</v>
      </c>
      <c r="L335" s="20" t="n">
        <f aca="false">IF($A335&gt;PARAMETROS!$C$33,"",L334*(1+PARAMETROS!$C$37)*(1+M335))</f>
        <v>36835.5957776346</v>
      </c>
      <c r="M335" s="21" t="n">
        <f aca="false">IF($A335&gt;PARAMETROS!$C$33,"",IF(C335&lt;70,PARAMETROS!$C$40,IF(C335&lt;75,PARAMETROS!$C$41,IF(C335&lt;80,PARAMETROS!$C$42,IF(C335&lt;85,PARAMETROS!$C$43,IF(C335&lt;90,PARAMETROS!$C$44,PARAMETROS!$C$45))))))</f>
        <v>0</v>
      </c>
      <c r="N335" s="20" t="n">
        <f aca="false">IF($A335&gt;PARAMETROS!$C$33,"",K335+L335)</f>
        <v>116529.851215475</v>
      </c>
      <c r="O335" s="20" t="n">
        <f aca="false">IF($A335&gt;PARAMETROS!$C$33,"",I335+J335-N335)</f>
        <v>-31366.1570115267</v>
      </c>
      <c r="P335" s="20" t="n">
        <f aca="false">IF($A335&gt;PARAMETROS!$C$33,"",MAX(E335+I335+J335-N335,0))</f>
        <v>0</v>
      </c>
      <c r="Q335" s="22" t="str">
        <f aca="false">IF($A335&gt;PARAMETROS!$C$33,"",IF(P335&lt;=0,"AGOTADO","OK"))</f>
        <v>AGOTADO</v>
      </c>
    </row>
    <row r="336" customFormat="false" ht="15" hidden="false" customHeight="false" outlineLevel="0" collapsed="false">
      <c r="A336" s="19" t="n">
        <f aca="false">A335+1</f>
        <v>334</v>
      </c>
      <c r="B336" s="19" t="n">
        <f aca="false">IF($A336="","",ROUNDUP($A336/12,0))</f>
        <v>28</v>
      </c>
      <c r="C336" s="19" t="n">
        <f aca="false">IF($A336="","",PARAMETROS!$C$6+INT(($A336-1)/12))</f>
        <v>92</v>
      </c>
      <c r="D336" s="19" t="n">
        <f aca="false">IF($A336="","",MOD($A336-1,12)+1)</f>
        <v>10</v>
      </c>
      <c r="E336" s="20" t="n">
        <f aca="false">IF($A336&gt;PARAMETROS!$C$33,"",P335)</f>
        <v>0</v>
      </c>
      <c r="F336" s="21" t="n">
        <f aca="false">IF($A336&gt;PARAMETROS!$C$33,"",PARAMETROS!$C$38)</f>
        <v>0.00495440818448101</v>
      </c>
      <c r="G336" s="20" t="n">
        <f aca="false">IF($A336&gt;PARAMETROS!$C$33,"",E336*F336)</f>
        <v>0</v>
      </c>
      <c r="H336" s="20" t="n">
        <f aca="false">IF($A336&gt;PARAMETROS!$C$33,"",E336*PARAMETROS!$C$39)</f>
        <v>0</v>
      </c>
      <c r="I336" s="20" t="n">
        <f aca="false">IF($A336&gt;PARAMETROS!$C$33,"",G336-H336)</f>
        <v>0</v>
      </c>
      <c r="J336" s="20" t="n">
        <f aca="false">IF($A336&gt;PARAMETROS!$C$33,"",PARAMETROS!$C$9*(1+PARAMETROS!$C$17)^(B336-1))</f>
        <v>85163.6942039483</v>
      </c>
      <c r="K336" s="20" t="n">
        <f aca="false">IF($A336&gt;PARAMETROS!$C$33,"",K335*(1+PARAMETROS!$C$36))</f>
        <v>79967.316171126</v>
      </c>
      <c r="L336" s="20" t="n">
        <f aca="false">IF($A336&gt;PARAMETROS!$C$33,"",L335*(1+PARAMETROS!$C$37)*(1+M336))</f>
        <v>36980.9686782878</v>
      </c>
      <c r="M336" s="21" t="n">
        <f aca="false">IF($A336&gt;PARAMETROS!$C$33,"",IF(C336&lt;70,PARAMETROS!$C$40,IF(C336&lt;75,PARAMETROS!$C$41,IF(C336&lt;80,PARAMETROS!$C$42,IF(C336&lt;85,PARAMETROS!$C$43,IF(C336&lt;90,PARAMETROS!$C$44,PARAMETROS!$C$45))))))</f>
        <v>0</v>
      </c>
      <c r="N336" s="20" t="n">
        <f aca="false">IF($A336&gt;PARAMETROS!$C$33,"",K336+L336)</f>
        <v>116948.284849414</v>
      </c>
      <c r="O336" s="20" t="n">
        <f aca="false">IF($A336&gt;PARAMETROS!$C$33,"",I336+J336-N336)</f>
        <v>-31784.5906454655</v>
      </c>
      <c r="P336" s="20" t="n">
        <f aca="false">IF($A336&gt;PARAMETROS!$C$33,"",MAX(E336+I336+J336-N336,0))</f>
        <v>0</v>
      </c>
      <c r="Q336" s="22" t="str">
        <f aca="false">IF($A336&gt;PARAMETROS!$C$33,"",IF(P336&lt;=0,"AGOTADO","OK"))</f>
        <v>AGOTADO</v>
      </c>
    </row>
    <row r="337" customFormat="false" ht="15" hidden="false" customHeight="false" outlineLevel="0" collapsed="false">
      <c r="A337" s="19" t="n">
        <f aca="false">A336+1</f>
        <v>335</v>
      </c>
      <c r="B337" s="19" t="n">
        <f aca="false">IF($A337="","",ROUNDUP($A337/12,0))</f>
        <v>28</v>
      </c>
      <c r="C337" s="19" t="n">
        <f aca="false">IF($A337="","",PARAMETROS!$C$6+INT(($A337-1)/12))</f>
        <v>92</v>
      </c>
      <c r="D337" s="19" t="n">
        <f aca="false">IF($A337="","",MOD($A337-1,12)+1)</f>
        <v>11</v>
      </c>
      <c r="E337" s="20" t="n">
        <f aca="false">IF($A337&gt;PARAMETROS!$C$33,"",P336)</f>
        <v>0</v>
      </c>
      <c r="F337" s="21" t="n">
        <f aca="false">IF($A337&gt;PARAMETROS!$C$33,"",PARAMETROS!$C$38)</f>
        <v>0.00495440818448101</v>
      </c>
      <c r="G337" s="20" t="n">
        <f aca="false">IF($A337&gt;PARAMETROS!$C$33,"",E337*F337)</f>
        <v>0</v>
      </c>
      <c r="H337" s="20" t="n">
        <f aca="false">IF($A337&gt;PARAMETROS!$C$33,"",E337*PARAMETROS!$C$39)</f>
        <v>0</v>
      </c>
      <c r="I337" s="20" t="n">
        <f aca="false">IF($A337&gt;PARAMETROS!$C$33,"",G337-H337)</f>
        <v>0</v>
      </c>
      <c r="J337" s="20" t="n">
        <f aca="false">IF($A337&gt;PARAMETROS!$C$33,"",PARAMETROS!$C$9*(1+PARAMETROS!$C$17)^(B337-1))</f>
        <v>85163.6942039483</v>
      </c>
      <c r="K337" s="20" t="n">
        <f aca="false">IF($A337&gt;PARAMETROS!$C$33,"",K336*(1+PARAMETROS!$C$36))</f>
        <v>80241.3125071554</v>
      </c>
      <c r="L337" s="20" t="n">
        <f aca="false">IF($A337&gt;PARAMETROS!$C$33,"",L336*(1+PARAMETROS!$C$37)*(1+M337))</f>
        <v>37126.9152979158</v>
      </c>
      <c r="M337" s="21" t="n">
        <f aca="false">IF($A337&gt;PARAMETROS!$C$33,"",IF(C337&lt;70,PARAMETROS!$C$40,IF(C337&lt;75,PARAMETROS!$C$41,IF(C337&lt;80,PARAMETROS!$C$42,IF(C337&lt;85,PARAMETROS!$C$43,IF(C337&lt;90,PARAMETROS!$C$44,PARAMETROS!$C$45))))))</f>
        <v>0</v>
      </c>
      <c r="N337" s="20" t="n">
        <f aca="false">IF($A337&gt;PARAMETROS!$C$33,"",K337+L337)</f>
        <v>117368.227805071</v>
      </c>
      <c r="O337" s="20" t="n">
        <f aca="false">IF($A337&gt;PARAMETROS!$C$33,"",I337+J337-N337)</f>
        <v>-32204.5336011229</v>
      </c>
      <c r="P337" s="20" t="n">
        <f aca="false">IF($A337&gt;PARAMETROS!$C$33,"",MAX(E337+I337+J337-N337,0))</f>
        <v>0</v>
      </c>
      <c r="Q337" s="22" t="str">
        <f aca="false">IF($A337&gt;PARAMETROS!$C$33,"",IF(P337&lt;=0,"AGOTADO","OK"))</f>
        <v>AGOTADO</v>
      </c>
    </row>
    <row r="338" customFormat="false" ht="15" hidden="false" customHeight="false" outlineLevel="0" collapsed="false">
      <c r="A338" s="19" t="n">
        <f aca="false">A337+1</f>
        <v>336</v>
      </c>
      <c r="B338" s="19" t="n">
        <f aca="false">IF($A338="","",ROUNDUP($A338/12,0))</f>
        <v>28</v>
      </c>
      <c r="C338" s="19" t="n">
        <f aca="false">IF($A338="","",PARAMETROS!$C$6+INT(($A338-1)/12))</f>
        <v>92</v>
      </c>
      <c r="D338" s="19" t="n">
        <f aca="false">IF($A338="","",MOD($A338-1,12)+1)</f>
        <v>12</v>
      </c>
      <c r="E338" s="20" t="n">
        <f aca="false">IF($A338&gt;PARAMETROS!$C$33,"",P337)</f>
        <v>0</v>
      </c>
      <c r="F338" s="21" t="n">
        <f aca="false">IF($A338&gt;PARAMETROS!$C$33,"",PARAMETROS!$C$38)</f>
        <v>0.00495440818448101</v>
      </c>
      <c r="G338" s="20" t="n">
        <f aca="false">IF($A338&gt;PARAMETROS!$C$33,"",E338*F338)</f>
        <v>0</v>
      </c>
      <c r="H338" s="20" t="n">
        <f aca="false">IF($A338&gt;PARAMETROS!$C$33,"",E338*PARAMETROS!$C$39)</f>
        <v>0</v>
      </c>
      <c r="I338" s="20" t="n">
        <f aca="false">IF($A338&gt;PARAMETROS!$C$33,"",G338-H338)</f>
        <v>0</v>
      </c>
      <c r="J338" s="20" t="n">
        <f aca="false">IF($A338&gt;PARAMETROS!$C$33,"",PARAMETROS!$C$9*(1+PARAMETROS!$C$17)^(B338-1))</f>
        <v>85163.6942039483</v>
      </c>
      <c r="K338" s="20" t="n">
        <f aca="false">IF($A338&gt;PARAMETROS!$C$33,"",K337*(1+PARAMETROS!$C$36))</f>
        <v>80516.2476516351</v>
      </c>
      <c r="L338" s="20" t="n">
        <f aca="false">IF($A338&gt;PARAMETROS!$C$33,"",L337*(1+PARAMETROS!$C$37)*(1+M338))</f>
        <v>37273.4379007194</v>
      </c>
      <c r="M338" s="21" t="n">
        <f aca="false">IF($A338&gt;PARAMETROS!$C$33,"",IF(C338&lt;70,PARAMETROS!$C$40,IF(C338&lt;75,PARAMETROS!$C$41,IF(C338&lt;80,PARAMETROS!$C$42,IF(C338&lt;85,PARAMETROS!$C$43,IF(C338&lt;90,PARAMETROS!$C$44,PARAMETROS!$C$45))))))</f>
        <v>0</v>
      </c>
      <c r="N338" s="20" t="n">
        <f aca="false">IF($A338&gt;PARAMETROS!$C$33,"",K338+L338)</f>
        <v>117789.685552355</v>
      </c>
      <c r="O338" s="20" t="n">
        <f aca="false">IF($A338&gt;PARAMETROS!$C$33,"",I338+J338-N338)</f>
        <v>-32625.9913484062</v>
      </c>
      <c r="P338" s="20" t="n">
        <f aca="false">IF($A338&gt;PARAMETROS!$C$33,"",MAX(E338+I338+J338-N338,0))</f>
        <v>0</v>
      </c>
      <c r="Q338" s="22" t="str">
        <f aca="false">IF($A338&gt;PARAMETROS!$C$33,"",IF(P338&lt;=0,"AGOTADO","OK"))</f>
        <v>AGOTADO</v>
      </c>
    </row>
    <row r="339" customFormat="false" ht="15" hidden="false" customHeight="false" outlineLevel="0" collapsed="false">
      <c r="A339" s="15" t="n">
        <f aca="false">A338+1</f>
        <v>337</v>
      </c>
      <c r="B339" s="15" t="n">
        <f aca="false">IF($A339="","",ROUNDUP($A339/12,0))</f>
        <v>29</v>
      </c>
      <c r="C339" s="15" t="n">
        <f aca="false">IF($A339="","",PARAMETROS!$C$6+INT(($A339-1)/12))</f>
        <v>93</v>
      </c>
      <c r="D339" s="15" t="n">
        <f aca="false">IF($A339="","",MOD($A339-1,12)+1)</f>
        <v>1</v>
      </c>
      <c r="E339" s="16" t="n">
        <f aca="false">IF($A339&gt;PARAMETROS!$C$33,"",P338)</f>
        <v>0</v>
      </c>
      <c r="F339" s="17" t="n">
        <f aca="false">IF($A339&gt;PARAMETROS!$C$33,"",PARAMETROS!$C$38)</f>
        <v>0.00495440818448101</v>
      </c>
      <c r="G339" s="16" t="n">
        <f aca="false">IF($A339&gt;PARAMETROS!$C$33,"",E339*F339)</f>
        <v>0</v>
      </c>
      <c r="H339" s="16" t="n">
        <f aca="false">IF($A339&gt;PARAMETROS!$C$33,"",E339*PARAMETROS!$C$39)</f>
        <v>0</v>
      </c>
      <c r="I339" s="16" t="n">
        <f aca="false">IF($A339&gt;PARAMETROS!$C$33,"",G339-H339)</f>
        <v>0</v>
      </c>
      <c r="J339" s="16" t="n">
        <f aca="false">IF($A339&gt;PARAMETROS!$C$33,"",PARAMETROS!$C$9*(1+PARAMETROS!$C$17)^(B339-1))</f>
        <v>88519.1437555839</v>
      </c>
      <c r="K339" s="16" t="n">
        <f aca="false">IF($A339&gt;PARAMETROS!$C$33,"",K338*(1+PARAMETROS!$C$36))</f>
        <v>80792.124821255</v>
      </c>
      <c r="L339" s="16" t="n">
        <f aca="false">IF($A339&gt;PARAMETROS!$C$33,"",L338*(1+PARAMETROS!$C$37)*(1+M339))</f>
        <v>37420.5387598356</v>
      </c>
      <c r="M339" s="17" t="n">
        <f aca="false">IF($A339&gt;PARAMETROS!$C$33,"",IF(C339&lt;70,PARAMETROS!$C$40,IF(C339&lt;75,PARAMETROS!$C$41,IF(C339&lt;80,PARAMETROS!$C$42,IF(C339&lt;85,PARAMETROS!$C$43,IF(C339&lt;90,PARAMETROS!$C$44,PARAMETROS!$C$45))))))</f>
        <v>0</v>
      </c>
      <c r="N339" s="16" t="n">
        <f aca="false">IF($A339&gt;PARAMETROS!$C$33,"",K339+L339)</f>
        <v>118212.663581091</v>
      </c>
      <c r="O339" s="16" t="n">
        <f aca="false">IF($A339&gt;PARAMETROS!$C$33,"",I339+J339-N339)</f>
        <v>-29693.5198255066</v>
      </c>
      <c r="P339" s="16" t="n">
        <f aca="false">IF($A339&gt;PARAMETROS!$C$33,"",MAX(E339+I339+J339-N339,0))</f>
        <v>0</v>
      </c>
      <c r="Q339" s="18" t="str">
        <f aca="false">IF($A339&gt;PARAMETROS!$C$33,"",IF(P339&lt;=0,"AGOTADO","OK"))</f>
        <v>AGOTADO</v>
      </c>
    </row>
    <row r="340" customFormat="false" ht="15" hidden="false" customHeight="false" outlineLevel="0" collapsed="false">
      <c r="A340" s="15" t="n">
        <f aca="false">A339+1</f>
        <v>338</v>
      </c>
      <c r="B340" s="15" t="n">
        <f aca="false">IF($A340="","",ROUNDUP($A340/12,0))</f>
        <v>29</v>
      </c>
      <c r="C340" s="15" t="n">
        <f aca="false">IF($A340="","",PARAMETROS!$C$6+INT(($A340-1)/12))</f>
        <v>93</v>
      </c>
      <c r="D340" s="15" t="n">
        <f aca="false">IF($A340="","",MOD($A340-1,12)+1)</f>
        <v>2</v>
      </c>
      <c r="E340" s="16" t="n">
        <f aca="false">IF($A340&gt;PARAMETROS!$C$33,"",P339)</f>
        <v>0</v>
      </c>
      <c r="F340" s="17" t="n">
        <f aca="false">IF($A340&gt;PARAMETROS!$C$33,"",PARAMETROS!$C$38)</f>
        <v>0.00495440818448101</v>
      </c>
      <c r="G340" s="16" t="n">
        <f aca="false">IF($A340&gt;PARAMETROS!$C$33,"",E340*F340)</f>
        <v>0</v>
      </c>
      <c r="H340" s="16" t="n">
        <f aca="false">IF($A340&gt;PARAMETROS!$C$33,"",E340*PARAMETROS!$C$39)</f>
        <v>0</v>
      </c>
      <c r="I340" s="16" t="n">
        <f aca="false">IF($A340&gt;PARAMETROS!$C$33,"",G340-H340)</f>
        <v>0</v>
      </c>
      <c r="J340" s="16" t="n">
        <f aca="false">IF($A340&gt;PARAMETROS!$C$33,"",PARAMETROS!$C$9*(1+PARAMETROS!$C$17)^(B340-1))</f>
        <v>88519.1437555839</v>
      </c>
      <c r="K340" s="16" t="n">
        <f aca="false">IF($A340&gt;PARAMETROS!$C$33,"",K339*(1+PARAMETROS!$C$36))</f>
        <v>81068.9472437268</v>
      </c>
      <c r="L340" s="16" t="n">
        <f aca="false">IF($A340&gt;PARAMETROS!$C$33,"",L339*(1+PARAMETROS!$C$37)*(1+M340))</f>
        <v>37568.2201573719</v>
      </c>
      <c r="M340" s="17" t="n">
        <f aca="false">IF($A340&gt;PARAMETROS!$C$33,"",IF(C340&lt;70,PARAMETROS!$C$40,IF(C340&lt;75,PARAMETROS!$C$41,IF(C340&lt;80,PARAMETROS!$C$42,IF(C340&lt;85,PARAMETROS!$C$43,IF(C340&lt;90,PARAMETROS!$C$44,PARAMETROS!$C$45))))))</f>
        <v>0</v>
      </c>
      <c r="N340" s="16" t="n">
        <f aca="false">IF($A340&gt;PARAMETROS!$C$33,"",K340+L340)</f>
        <v>118637.167401099</v>
      </c>
      <c r="O340" s="16" t="n">
        <f aca="false">IF($A340&gt;PARAMETROS!$C$33,"",I340+J340-N340)</f>
        <v>-30118.0236455147</v>
      </c>
      <c r="P340" s="16" t="n">
        <f aca="false">IF($A340&gt;PARAMETROS!$C$33,"",MAX(E340+I340+J340-N340,0))</f>
        <v>0</v>
      </c>
      <c r="Q340" s="18" t="str">
        <f aca="false">IF($A340&gt;PARAMETROS!$C$33,"",IF(P340&lt;=0,"AGOTADO","OK"))</f>
        <v>AGOTADO</v>
      </c>
    </row>
    <row r="341" customFormat="false" ht="15" hidden="false" customHeight="false" outlineLevel="0" collapsed="false">
      <c r="A341" s="15" t="n">
        <f aca="false">A340+1</f>
        <v>339</v>
      </c>
      <c r="B341" s="15" t="n">
        <f aca="false">IF($A341="","",ROUNDUP($A341/12,0))</f>
        <v>29</v>
      </c>
      <c r="C341" s="15" t="n">
        <f aca="false">IF($A341="","",PARAMETROS!$C$6+INT(($A341-1)/12))</f>
        <v>93</v>
      </c>
      <c r="D341" s="15" t="n">
        <f aca="false">IF($A341="","",MOD($A341-1,12)+1)</f>
        <v>3</v>
      </c>
      <c r="E341" s="16" t="n">
        <f aca="false">IF($A341&gt;PARAMETROS!$C$33,"",P340)</f>
        <v>0</v>
      </c>
      <c r="F341" s="17" t="n">
        <f aca="false">IF($A341&gt;PARAMETROS!$C$33,"",PARAMETROS!$C$38)</f>
        <v>0.00495440818448101</v>
      </c>
      <c r="G341" s="16" t="n">
        <f aca="false">IF($A341&gt;PARAMETROS!$C$33,"",E341*F341)</f>
        <v>0</v>
      </c>
      <c r="H341" s="16" t="n">
        <f aca="false">IF($A341&gt;PARAMETROS!$C$33,"",E341*PARAMETROS!$C$39)</f>
        <v>0</v>
      </c>
      <c r="I341" s="16" t="n">
        <f aca="false">IF($A341&gt;PARAMETROS!$C$33,"",G341-H341)</f>
        <v>0</v>
      </c>
      <c r="J341" s="16" t="n">
        <f aca="false">IF($A341&gt;PARAMETROS!$C$33,"",PARAMETROS!$C$9*(1+PARAMETROS!$C$17)^(B341-1))</f>
        <v>88519.1437555839</v>
      </c>
      <c r="K341" s="16" t="n">
        <f aca="false">IF($A341&gt;PARAMETROS!$C$33,"",K340*(1+PARAMETROS!$C$36))</f>
        <v>81346.7181578214</v>
      </c>
      <c r="L341" s="16" t="n">
        <f aca="false">IF($A341&gt;PARAMETROS!$C$33,"",L340*(1+PARAMETROS!$C$37)*(1+M341))</f>
        <v>37716.4843844424</v>
      </c>
      <c r="M341" s="17" t="n">
        <f aca="false">IF($A341&gt;PARAMETROS!$C$33,"",IF(C341&lt;70,PARAMETROS!$C$40,IF(C341&lt;75,PARAMETROS!$C$41,IF(C341&lt;80,PARAMETROS!$C$42,IF(C341&lt;85,PARAMETROS!$C$43,IF(C341&lt;90,PARAMETROS!$C$44,PARAMETROS!$C$45))))))</f>
        <v>0</v>
      </c>
      <c r="N341" s="16" t="n">
        <f aca="false">IF($A341&gt;PARAMETROS!$C$33,"",K341+L341)</f>
        <v>119063.202542264</v>
      </c>
      <c r="O341" s="16" t="n">
        <f aca="false">IF($A341&gt;PARAMETROS!$C$33,"",I341+J341-N341)</f>
        <v>-30544.0587866799</v>
      </c>
      <c r="P341" s="16" t="n">
        <f aca="false">IF($A341&gt;PARAMETROS!$C$33,"",MAX(E341+I341+J341-N341,0))</f>
        <v>0</v>
      </c>
      <c r="Q341" s="18" t="str">
        <f aca="false">IF($A341&gt;PARAMETROS!$C$33,"",IF(P341&lt;=0,"AGOTADO","OK"))</f>
        <v>AGOTADO</v>
      </c>
    </row>
    <row r="342" customFormat="false" ht="15" hidden="false" customHeight="false" outlineLevel="0" collapsed="false">
      <c r="A342" s="15" t="n">
        <f aca="false">A341+1</f>
        <v>340</v>
      </c>
      <c r="B342" s="15" t="n">
        <f aca="false">IF($A342="","",ROUNDUP($A342/12,0))</f>
        <v>29</v>
      </c>
      <c r="C342" s="15" t="n">
        <f aca="false">IF($A342="","",PARAMETROS!$C$6+INT(($A342-1)/12))</f>
        <v>93</v>
      </c>
      <c r="D342" s="15" t="n">
        <f aca="false">IF($A342="","",MOD($A342-1,12)+1)</f>
        <v>4</v>
      </c>
      <c r="E342" s="16" t="n">
        <f aca="false">IF($A342&gt;PARAMETROS!$C$33,"",P341)</f>
        <v>0</v>
      </c>
      <c r="F342" s="17" t="n">
        <f aca="false">IF($A342&gt;PARAMETROS!$C$33,"",PARAMETROS!$C$38)</f>
        <v>0.00495440818448101</v>
      </c>
      <c r="G342" s="16" t="n">
        <f aca="false">IF($A342&gt;PARAMETROS!$C$33,"",E342*F342)</f>
        <v>0</v>
      </c>
      <c r="H342" s="16" t="n">
        <f aca="false">IF($A342&gt;PARAMETROS!$C$33,"",E342*PARAMETROS!$C$39)</f>
        <v>0</v>
      </c>
      <c r="I342" s="16" t="n">
        <f aca="false">IF($A342&gt;PARAMETROS!$C$33,"",G342-H342)</f>
        <v>0</v>
      </c>
      <c r="J342" s="16" t="n">
        <f aca="false">IF($A342&gt;PARAMETROS!$C$33,"",PARAMETROS!$C$9*(1+PARAMETROS!$C$17)^(B342-1))</f>
        <v>88519.1437555839</v>
      </c>
      <c r="K342" s="16" t="n">
        <f aca="false">IF($A342&gt;PARAMETROS!$C$33,"",K341*(1+PARAMETROS!$C$36))</f>
        <v>81625.4408134069</v>
      </c>
      <c r="L342" s="16" t="n">
        <f aca="false">IF($A342&gt;PARAMETROS!$C$33,"",L341*(1+PARAMETROS!$C$37)*(1+M342))</f>
        <v>37865.3337412034</v>
      </c>
      <c r="M342" s="17" t="n">
        <f aca="false">IF($A342&gt;PARAMETROS!$C$33,"",IF(C342&lt;70,PARAMETROS!$C$40,IF(C342&lt;75,PARAMETROS!$C$41,IF(C342&lt;80,PARAMETROS!$C$42,IF(C342&lt;85,PARAMETROS!$C$43,IF(C342&lt;90,PARAMETROS!$C$44,PARAMETROS!$C$45))))))</f>
        <v>0</v>
      </c>
      <c r="N342" s="16" t="n">
        <f aca="false">IF($A342&gt;PARAMETROS!$C$33,"",K342+L342)</f>
        <v>119490.77455461</v>
      </c>
      <c r="O342" s="16" t="n">
        <f aca="false">IF($A342&gt;PARAMETROS!$C$33,"",I342+J342-N342)</f>
        <v>-30971.6307990264</v>
      </c>
      <c r="P342" s="16" t="n">
        <f aca="false">IF($A342&gt;PARAMETROS!$C$33,"",MAX(E342+I342+J342-N342,0))</f>
        <v>0</v>
      </c>
      <c r="Q342" s="18" t="str">
        <f aca="false">IF($A342&gt;PARAMETROS!$C$33,"",IF(P342&lt;=0,"AGOTADO","OK"))</f>
        <v>AGOTADO</v>
      </c>
    </row>
    <row r="343" customFormat="false" ht="15" hidden="false" customHeight="false" outlineLevel="0" collapsed="false">
      <c r="A343" s="15" t="n">
        <f aca="false">A342+1</f>
        <v>341</v>
      </c>
      <c r="B343" s="15" t="n">
        <f aca="false">IF($A343="","",ROUNDUP($A343/12,0))</f>
        <v>29</v>
      </c>
      <c r="C343" s="15" t="n">
        <f aca="false">IF($A343="","",PARAMETROS!$C$6+INT(($A343-1)/12))</f>
        <v>93</v>
      </c>
      <c r="D343" s="15" t="n">
        <f aca="false">IF($A343="","",MOD($A343-1,12)+1)</f>
        <v>5</v>
      </c>
      <c r="E343" s="16" t="n">
        <f aca="false">IF($A343&gt;PARAMETROS!$C$33,"",P342)</f>
        <v>0</v>
      </c>
      <c r="F343" s="17" t="n">
        <f aca="false">IF($A343&gt;PARAMETROS!$C$33,"",PARAMETROS!$C$38)</f>
        <v>0.00495440818448101</v>
      </c>
      <c r="G343" s="16" t="n">
        <f aca="false">IF($A343&gt;PARAMETROS!$C$33,"",E343*F343)</f>
        <v>0</v>
      </c>
      <c r="H343" s="16" t="n">
        <f aca="false">IF($A343&gt;PARAMETROS!$C$33,"",E343*PARAMETROS!$C$39)</f>
        <v>0</v>
      </c>
      <c r="I343" s="16" t="n">
        <f aca="false">IF($A343&gt;PARAMETROS!$C$33,"",G343-H343)</f>
        <v>0</v>
      </c>
      <c r="J343" s="16" t="n">
        <f aca="false">IF($A343&gt;PARAMETROS!$C$33,"",PARAMETROS!$C$9*(1+PARAMETROS!$C$17)^(B343-1))</f>
        <v>88519.1437555839</v>
      </c>
      <c r="K343" s="16" t="n">
        <f aca="false">IF($A343&gt;PARAMETROS!$C$33,"",K342*(1+PARAMETROS!$C$36))</f>
        <v>81905.1184714867</v>
      </c>
      <c r="L343" s="16" t="n">
        <f aca="false">IF($A343&gt;PARAMETROS!$C$33,"",L342*(1+PARAMETROS!$C$37)*(1+M343))</f>
        <v>38014.7705368884</v>
      </c>
      <c r="M343" s="17" t="n">
        <f aca="false">IF($A343&gt;PARAMETROS!$C$33,"",IF(C343&lt;70,PARAMETROS!$C$40,IF(C343&lt;75,PARAMETROS!$C$41,IF(C343&lt;80,PARAMETROS!$C$42,IF(C343&lt;85,PARAMETROS!$C$43,IF(C343&lt;90,PARAMETROS!$C$44,PARAMETROS!$C$45))))))</f>
        <v>0</v>
      </c>
      <c r="N343" s="16" t="n">
        <f aca="false">IF($A343&gt;PARAMETROS!$C$33,"",K343+L343)</f>
        <v>119919.889008375</v>
      </c>
      <c r="O343" s="16" t="n">
        <f aca="false">IF($A343&gt;PARAMETROS!$C$33,"",I343+J343-N343)</f>
        <v>-31400.7452527912</v>
      </c>
      <c r="P343" s="16" t="n">
        <f aca="false">IF($A343&gt;PARAMETROS!$C$33,"",MAX(E343+I343+J343-N343,0))</f>
        <v>0</v>
      </c>
      <c r="Q343" s="18" t="str">
        <f aca="false">IF($A343&gt;PARAMETROS!$C$33,"",IF(P343&lt;=0,"AGOTADO","OK"))</f>
        <v>AGOTADO</v>
      </c>
    </row>
    <row r="344" customFormat="false" ht="15" hidden="false" customHeight="false" outlineLevel="0" collapsed="false">
      <c r="A344" s="15" t="n">
        <f aca="false">A343+1</f>
        <v>342</v>
      </c>
      <c r="B344" s="15" t="n">
        <f aca="false">IF($A344="","",ROUNDUP($A344/12,0))</f>
        <v>29</v>
      </c>
      <c r="C344" s="15" t="n">
        <f aca="false">IF($A344="","",PARAMETROS!$C$6+INT(($A344-1)/12))</f>
        <v>93</v>
      </c>
      <c r="D344" s="15" t="n">
        <f aca="false">IF($A344="","",MOD($A344-1,12)+1)</f>
        <v>6</v>
      </c>
      <c r="E344" s="16" t="n">
        <f aca="false">IF($A344&gt;PARAMETROS!$C$33,"",P343)</f>
        <v>0</v>
      </c>
      <c r="F344" s="17" t="n">
        <f aca="false">IF($A344&gt;PARAMETROS!$C$33,"",PARAMETROS!$C$38)</f>
        <v>0.00495440818448101</v>
      </c>
      <c r="G344" s="16" t="n">
        <f aca="false">IF($A344&gt;PARAMETROS!$C$33,"",E344*F344)</f>
        <v>0</v>
      </c>
      <c r="H344" s="16" t="n">
        <f aca="false">IF($A344&gt;PARAMETROS!$C$33,"",E344*PARAMETROS!$C$39)</f>
        <v>0</v>
      </c>
      <c r="I344" s="16" t="n">
        <f aca="false">IF($A344&gt;PARAMETROS!$C$33,"",G344-H344)</f>
        <v>0</v>
      </c>
      <c r="J344" s="16" t="n">
        <f aca="false">IF($A344&gt;PARAMETROS!$C$33,"",PARAMETROS!$C$9*(1+PARAMETROS!$C$17)^(B344-1))</f>
        <v>88519.1437555839</v>
      </c>
      <c r="K344" s="16" t="n">
        <f aca="false">IF($A344&gt;PARAMETROS!$C$33,"",K343*(1+PARAMETROS!$C$36))</f>
        <v>82185.7544042373</v>
      </c>
      <c r="L344" s="16" t="n">
        <f aca="false">IF($A344&gt;PARAMETROS!$C$33,"",L343*(1+PARAMETROS!$C$37)*(1+M344))</f>
        <v>38164.7970898448</v>
      </c>
      <c r="M344" s="17" t="n">
        <f aca="false">IF($A344&gt;PARAMETROS!$C$33,"",IF(C344&lt;70,PARAMETROS!$C$40,IF(C344&lt;75,PARAMETROS!$C$41,IF(C344&lt;80,PARAMETROS!$C$42,IF(C344&lt;85,PARAMETROS!$C$43,IF(C344&lt;90,PARAMETROS!$C$44,PARAMETROS!$C$45))))))</f>
        <v>0</v>
      </c>
      <c r="N344" s="16" t="n">
        <f aca="false">IF($A344&gt;PARAMETROS!$C$33,"",K344+L344)</f>
        <v>120350.551494082</v>
      </c>
      <c r="O344" s="16" t="n">
        <f aca="false">IF($A344&gt;PARAMETROS!$C$33,"",I344+J344-N344)</f>
        <v>-31831.4077384982</v>
      </c>
      <c r="P344" s="16" t="n">
        <f aca="false">IF($A344&gt;PARAMETROS!$C$33,"",MAX(E344+I344+J344-N344,0))</f>
        <v>0</v>
      </c>
      <c r="Q344" s="18" t="str">
        <f aca="false">IF($A344&gt;PARAMETROS!$C$33,"",IF(P344&lt;=0,"AGOTADO","OK"))</f>
        <v>AGOTADO</v>
      </c>
    </row>
    <row r="345" customFormat="false" ht="15" hidden="false" customHeight="false" outlineLevel="0" collapsed="false">
      <c r="A345" s="15" t="n">
        <f aca="false">A344+1</f>
        <v>343</v>
      </c>
      <c r="B345" s="15" t="n">
        <f aca="false">IF($A345="","",ROUNDUP($A345/12,0))</f>
        <v>29</v>
      </c>
      <c r="C345" s="15" t="n">
        <f aca="false">IF($A345="","",PARAMETROS!$C$6+INT(($A345-1)/12))</f>
        <v>93</v>
      </c>
      <c r="D345" s="15" t="n">
        <f aca="false">IF($A345="","",MOD($A345-1,12)+1)</f>
        <v>7</v>
      </c>
      <c r="E345" s="16" t="n">
        <f aca="false">IF($A345&gt;PARAMETROS!$C$33,"",P344)</f>
        <v>0</v>
      </c>
      <c r="F345" s="17" t="n">
        <f aca="false">IF($A345&gt;PARAMETROS!$C$33,"",PARAMETROS!$C$38)</f>
        <v>0.00495440818448101</v>
      </c>
      <c r="G345" s="16" t="n">
        <f aca="false">IF($A345&gt;PARAMETROS!$C$33,"",E345*F345)</f>
        <v>0</v>
      </c>
      <c r="H345" s="16" t="n">
        <f aca="false">IF($A345&gt;PARAMETROS!$C$33,"",E345*PARAMETROS!$C$39)</f>
        <v>0</v>
      </c>
      <c r="I345" s="16" t="n">
        <f aca="false">IF($A345&gt;PARAMETROS!$C$33,"",G345-H345)</f>
        <v>0</v>
      </c>
      <c r="J345" s="16" t="n">
        <f aca="false">IF($A345&gt;PARAMETROS!$C$33,"",PARAMETROS!$C$9*(1+PARAMETROS!$C$17)^(B345-1))</f>
        <v>88519.1437555839</v>
      </c>
      <c r="K345" s="16" t="n">
        <f aca="false">IF($A345&gt;PARAMETROS!$C$33,"",K344*(1+PARAMETROS!$C$36))</f>
        <v>82467.3518950471</v>
      </c>
      <c r="L345" s="16" t="n">
        <f aca="false">IF($A345&gt;PARAMETROS!$C$33,"",L344*(1+PARAMETROS!$C$37)*(1+M345))</f>
        <v>38315.4157275691</v>
      </c>
      <c r="M345" s="17" t="n">
        <f aca="false">IF($A345&gt;PARAMETROS!$C$33,"",IF(C345&lt;70,PARAMETROS!$C$40,IF(C345&lt;75,PARAMETROS!$C$41,IF(C345&lt;80,PARAMETROS!$C$42,IF(C345&lt;85,PARAMETROS!$C$43,IF(C345&lt;90,PARAMETROS!$C$44,PARAMETROS!$C$45))))))</f>
        <v>0</v>
      </c>
      <c r="N345" s="16" t="n">
        <f aca="false">IF($A345&gt;PARAMETROS!$C$33,"",K345+L345)</f>
        <v>120782.767622616</v>
      </c>
      <c r="O345" s="16" t="n">
        <f aca="false">IF($A345&gt;PARAMETROS!$C$33,"",I345+J345-N345)</f>
        <v>-32263.6238670323</v>
      </c>
      <c r="P345" s="16" t="n">
        <f aca="false">IF($A345&gt;PARAMETROS!$C$33,"",MAX(E345+I345+J345-N345,0))</f>
        <v>0</v>
      </c>
      <c r="Q345" s="18" t="str">
        <f aca="false">IF($A345&gt;PARAMETROS!$C$33,"",IF(P345&lt;=0,"AGOTADO","OK"))</f>
        <v>AGOTADO</v>
      </c>
    </row>
    <row r="346" customFormat="false" ht="15" hidden="false" customHeight="false" outlineLevel="0" collapsed="false">
      <c r="A346" s="15" t="n">
        <f aca="false">A345+1</f>
        <v>344</v>
      </c>
      <c r="B346" s="15" t="n">
        <f aca="false">IF($A346="","",ROUNDUP($A346/12,0))</f>
        <v>29</v>
      </c>
      <c r="C346" s="15" t="n">
        <f aca="false">IF($A346="","",PARAMETROS!$C$6+INT(($A346-1)/12))</f>
        <v>93</v>
      </c>
      <c r="D346" s="15" t="n">
        <f aca="false">IF($A346="","",MOD($A346-1,12)+1)</f>
        <v>8</v>
      </c>
      <c r="E346" s="16" t="n">
        <f aca="false">IF($A346&gt;PARAMETROS!$C$33,"",P345)</f>
        <v>0</v>
      </c>
      <c r="F346" s="17" t="n">
        <f aca="false">IF($A346&gt;PARAMETROS!$C$33,"",PARAMETROS!$C$38)</f>
        <v>0.00495440818448101</v>
      </c>
      <c r="G346" s="16" t="n">
        <f aca="false">IF($A346&gt;PARAMETROS!$C$33,"",E346*F346)</f>
        <v>0</v>
      </c>
      <c r="H346" s="16" t="n">
        <f aca="false">IF($A346&gt;PARAMETROS!$C$33,"",E346*PARAMETROS!$C$39)</f>
        <v>0</v>
      </c>
      <c r="I346" s="16" t="n">
        <f aca="false">IF($A346&gt;PARAMETROS!$C$33,"",G346-H346)</f>
        <v>0</v>
      </c>
      <c r="J346" s="16" t="n">
        <f aca="false">IF($A346&gt;PARAMETROS!$C$33,"",PARAMETROS!$C$9*(1+PARAMETROS!$C$17)^(B346-1))</f>
        <v>88519.1437555839</v>
      </c>
      <c r="K346" s="16" t="n">
        <f aca="false">IF($A346&gt;PARAMETROS!$C$33,"",K345*(1+PARAMETROS!$C$36))</f>
        <v>82749.9142385543</v>
      </c>
      <c r="L346" s="16" t="n">
        <f aca="false">IF($A346&gt;PARAMETROS!$C$33,"",L345*(1+PARAMETROS!$C$37)*(1+M346))</f>
        <v>38466.6287867436</v>
      </c>
      <c r="M346" s="17" t="n">
        <f aca="false">IF($A346&gt;PARAMETROS!$C$33,"",IF(C346&lt;70,PARAMETROS!$C$40,IF(C346&lt;75,PARAMETROS!$C$41,IF(C346&lt;80,PARAMETROS!$C$42,IF(C346&lt;85,PARAMETROS!$C$43,IF(C346&lt;90,PARAMETROS!$C$44,PARAMETROS!$C$45))))))</f>
        <v>0</v>
      </c>
      <c r="N346" s="16" t="n">
        <f aca="false">IF($A346&gt;PARAMETROS!$C$33,"",K346+L346)</f>
        <v>121216.543025298</v>
      </c>
      <c r="O346" s="16" t="n">
        <f aca="false">IF($A346&gt;PARAMETROS!$C$33,"",I346+J346-N346)</f>
        <v>-32697.399269714</v>
      </c>
      <c r="P346" s="16" t="n">
        <f aca="false">IF($A346&gt;PARAMETROS!$C$33,"",MAX(E346+I346+J346-N346,0))</f>
        <v>0</v>
      </c>
      <c r="Q346" s="18" t="str">
        <f aca="false">IF($A346&gt;PARAMETROS!$C$33,"",IF(P346&lt;=0,"AGOTADO","OK"))</f>
        <v>AGOTADO</v>
      </c>
    </row>
    <row r="347" customFormat="false" ht="15" hidden="false" customHeight="false" outlineLevel="0" collapsed="false">
      <c r="A347" s="15" t="n">
        <f aca="false">A346+1</f>
        <v>345</v>
      </c>
      <c r="B347" s="15" t="n">
        <f aca="false">IF($A347="","",ROUNDUP($A347/12,0))</f>
        <v>29</v>
      </c>
      <c r="C347" s="15" t="n">
        <f aca="false">IF($A347="","",PARAMETROS!$C$6+INT(($A347-1)/12))</f>
        <v>93</v>
      </c>
      <c r="D347" s="15" t="n">
        <f aca="false">IF($A347="","",MOD($A347-1,12)+1)</f>
        <v>9</v>
      </c>
      <c r="E347" s="16" t="n">
        <f aca="false">IF($A347&gt;PARAMETROS!$C$33,"",P346)</f>
        <v>0</v>
      </c>
      <c r="F347" s="17" t="n">
        <f aca="false">IF($A347&gt;PARAMETROS!$C$33,"",PARAMETROS!$C$38)</f>
        <v>0.00495440818448101</v>
      </c>
      <c r="G347" s="16" t="n">
        <f aca="false">IF($A347&gt;PARAMETROS!$C$33,"",E347*F347)</f>
        <v>0</v>
      </c>
      <c r="H347" s="16" t="n">
        <f aca="false">IF($A347&gt;PARAMETROS!$C$33,"",E347*PARAMETROS!$C$39)</f>
        <v>0</v>
      </c>
      <c r="I347" s="16" t="n">
        <f aca="false">IF($A347&gt;PARAMETROS!$C$33,"",G347-H347)</f>
        <v>0</v>
      </c>
      <c r="J347" s="16" t="n">
        <f aca="false">IF($A347&gt;PARAMETROS!$C$33,"",PARAMETROS!$C$9*(1+PARAMETROS!$C$17)^(B347-1))</f>
        <v>88519.1437555839</v>
      </c>
      <c r="K347" s="16" t="n">
        <f aca="false">IF($A347&gt;PARAMETROS!$C$33,"",K346*(1+PARAMETROS!$C$36))</f>
        <v>83033.4447406859</v>
      </c>
      <c r="L347" s="16" t="n">
        <f aca="false">IF($A347&gt;PARAMETROS!$C$33,"",L346*(1+PARAMETROS!$C$37)*(1+M347))</f>
        <v>38618.4386132721</v>
      </c>
      <c r="M347" s="17" t="n">
        <f aca="false">IF($A347&gt;PARAMETROS!$C$33,"",IF(C347&lt;70,PARAMETROS!$C$40,IF(C347&lt;75,PARAMETROS!$C$41,IF(C347&lt;80,PARAMETROS!$C$42,IF(C347&lt;85,PARAMETROS!$C$43,IF(C347&lt;90,PARAMETROS!$C$44,PARAMETROS!$C$45))))))</f>
        <v>0</v>
      </c>
      <c r="N347" s="16" t="n">
        <f aca="false">IF($A347&gt;PARAMETROS!$C$33,"",K347+L347)</f>
        <v>121651.883353958</v>
      </c>
      <c r="O347" s="16" t="n">
        <f aca="false">IF($A347&gt;PARAMETROS!$C$33,"",I347+J347-N347)</f>
        <v>-33132.7395983742</v>
      </c>
      <c r="P347" s="16" t="n">
        <f aca="false">IF($A347&gt;PARAMETROS!$C$33,"",MAX(E347+I347+J347-N347,0))</f>
        <v>0</v>
      </c>
      <c r="Q347" s="18" t="str">
        <f aca="false">IF($A347&gt;PARAMETROS!$C$33,"",IF(P347&lt;=0,"AGOTADO","OK"))</f>
        <v>AGOTADO</v>
      </c>
    </row>
    <row r="348" customFormat="false" ht="15" hidden="false" customHeight="false" outlineLevel="0" collapsed="false">
      <c r="A348" s="15" t="n">
        <f aca="false">A347+1</f>
        <v>346</v>
      </c>
      <c r="B348" s="15" t="n">
        <f aca="false">IF($A348="","",ROUNDUP($A348/12,0))</f>
        <v>29</v>
      </c>
      <c r="C348" s="15" t="n">
        <f aca="false">IF($A348="","",PARAMETROS!$C$6+INT(($A348-1)/12))</f>
        <v>93</v>
      </c>
      <c r="D348" s="15" t="n">
        <f aca="false">IF($A348="","",MOD($A348-1,12)+1)</f>
        <v>10</v>
      </c>
      <c r="E348" s="16" t="n">
        <f aca="false">IF($A348&gt;PARAMETROS!$C$33,"",P347)</f>
        <v>0</v>
      </c>
      <c r="F348" s="17" t="n">
        <f aca="false">IF($A348&gt;PARAMETROS!$C$33,"",PARAMETROS!$C$38)</f>
        <v>0.00495440818448101</v>
      </c>
      <c r="G348" s="16" t="n">
        <f aca="false">IF($A348&gt;PARAMETROS!$C$33,"",E348*F348)</f>
        <v>0</v>
      </c>
      <c r="H348" s="16" t="n">
        <f aca="false">IF($A348&gt;PARAMETROS!$C$33,"",E348*PARAMETROS!$C$39)</f>
        <v>0</v>
      </c>
      <c r="I348" s="16" t="n">
        <f aca="false">IF($A348&gt;PARAMETROS!$C$33,"",G348-H348)</f>
        <v>0</v>
      </c>
      <c r="J348" s="16" t="n">
        <f aca="false">IF($A348&gt;PARAMETROS!$C$33,"",PARAMETROS!$C$9*(1+PARAMETROS!$C$17)^(B348-1))</f>
        <v>88519.1437555839</v>
      </c>
      <c r="K348" s="16" t="n">
        <f aca="false">IF($A348&gt;PARAMETROS!$C$33,"",K347*(1+PARAMETROS!$C$36))</f>
        <v>83317.9467186961</v>
      </c>
      <c r="L348" s="16" t="n">
        <f aca="false">IF($A348&gt;PARAMETROS!$C$33,"",L347*(1+PARAMETROS!$C$37)*(1+M348))</f>
        <v>38770.847562317</v>
      </c>
      <c r="M348" s="17" t="n">
        <f aca="false">IF($A348&gt;PARAMETROS!$C$33,"",IF(C348&lt;70,PARAMETROS!$C$40,IF(C348&lt;75,PARAMETROS!$C$41,IF(C348&lt;80,PARAMETROS!$C$42,IF(C348&lt;85,PARAMETROS!$C$43,IF(C348&lt;90,PARAMETROS!$C$44,PARAMETROS!$C$45))))))</f>
        <v>0</v>
      </c>
      <c r="N348" s="16" t="n">
        <f aca="false">IF($A348&gt;PARAMETROS!$C$33,"",K348+L348)</f>
        <v>122088.794281013</v>
      </c>
      <c r="O348" s="16" t="n">
        <f aca="false">IF($A348&gt;PARAMETROS!$C$33,"",I348+J348-N348)</f>
        <v>-33569.6505254292</v>
      </c>
      <c r="P348" s="16" t="n">
        <f aca="false">IF($A348&gt;PARAMETROS!$C$33,"",MAX(E348+I348+J348-N348,0))</f>
        <v>0</v>
      </c>
      <c r="Q348" s="18" t="str">
        <f aca="false">IF($A348&gt;PARAMETROS!$C$33,"",IF(P348&lt;=0,"AGOTADO","OK"))</f>
        <v>AGOTADO</v>
      </c>
    </row>
    <row r="349" customFormat="false" ht="15" hidden="false" customHeight="false" outlineLevel="0" collapsed="false">
      <c r="A349" s="15" t="n">
        <f aca="false">A348+1</f>
        <v>347</v>
      </c>
      <c r="B349" s="15" t="n">
        <f aca="false">IF($A349="","",ROUNDUP($A349/12,0))</f>
        <v>29</v>
      </c>
      <c r="C349" s="15" t="n">
        <f aca="false">IF($A349="","",PARAMETROS!$C$6+INT(($A349-1)/12))</f>
        <v>93</v>
      </c>
      <c r="D349" s="15" t="n">
        <f aca="false">IF($A349="","",MOD($A349-1,12)+1)</f>
        <v>11</v>
      </c>
      <c r="E349" s="16" t="n">
        <f aca="false">IF($A349&gt;PARAMETROS!$C$33,"",P348)</f>
        <v>0</v>
      </c>
      <c r="F349" s="17" t="n">
        <f aca="false">IF($A349&gt;PARAMETROS!$C$33,"",PARAMETROS!$C$38)</f>
        <v>0.00495440818448101</v>
      </c>
      <c r="G349" s="16" t="n">
        <f aca="false">IF($A349&gt;PARAMETROS!$C$33,"",E349*F349)</f>
        <v>0</v>
      </c>
      <c r="H349" s="16" t="n">
        <f aca="false">IF($A349&gt;PARAMETROS!$C$33,"",E349*PARAMETROS!$C$39)</f>
        <v>0</v>
      </c>
      <c r="I349" s="16" t="n">
        <f aca="false">IF($A349&gt;PARAMETROS!$C$33,"",G349-H349)</f>
        <v>0</v>
      </c>
      <c r="J349" s="16" t="n">
        <f aca="false">IF($A349&gt;PARAMETROS!$C$33,"",PARAMETROS!$C$9*(1+PARAMETROS!$C$17)^(B349-1))</f>
        <v>88519.1437555839</v>
      </c>
      <c r="K349" s="16" t="n">
        <f aca="false">IF($A349&gt;PARAMETROS!$C$33,"",K348*(1+PARAMETROS!$C$36))</f>
        <v>83603.4235012052</v>
      </c>
      <c r="L349" s="16" t="n">
        <f aca="false">IF($A349&gt;PARAMETROS!$C$33,"",L348*(1+PARAMETROS!$C$37)*(1+M349))</f>
        <v>38923.8579983349</v>
      </c>
      <c r="M349" s="17" t="n">
        <f aca="false">IF($A349&gt;PARAMETROS!$C$33,"",IF(C349&lt;70,PARAMETROS!$C$40,IF(C349&lt;75,PARAMETROS!$C$41,IF(C349&lt;80,PARAMETROS!$C$42,IF(C349&lt;85,PARAMETROS!$C$43,IF(C349&lt;90,PARAMETROS!$C$44,PARAMETROS!$C$45))))))</f>
        <v>0</v>
      </c>
      <c r="N349" s="16" t="n">
        <f aca="false">IF($A349&gt;PARAMETROS!$C$33,"",K349+L349)</f>
        <v>122527.28149954</v>
      </c>
      <c r="O349" s="16" t="n">
        <f aca="false">IF($A349&gt;PARAMETROS!$C$33,"",I349+J349-N349)</f>
        <v>-34008.1377439562</v>
      </c>
      <c r="P349" s="16" t="n">
        <f aca="false">IF($A349&gt;PARAMETROS!$C$33,"",MAX(E349+I349+J349-N349,0))</f>
        <v>0</v>
      </c>
      <c r="Q349" s="18" t="str">
        <f aca="false">IF($A349&gt;PARAMETROS!$C$33,"",IF(P349&lt;=0,"AGOTADO","OK"))</f>
        <v>AGOTADO</v>
      </c>
    </row>
    <row r="350" customFormat="false" ht="15" hidden="false" customHeight="false" outlineLevel="0" collapsed="false">
      <c r="A350" s="15" t="n">
        <f aca="false">A349+1</f>
        <v>348</v>
      </c>
      <c r="B350" s="15" t="n">
        <f aca="false">IF($A350="","",ROUNDUP($A350/12,0))</f>
        <v>29</v>
      </c>
      <c r="C350" s="15" t="n">
        <f aca="false">IF($A350="","",PARAMETROS!$C$6+INT(($A350-1)/12))</f>
        <v>93</v>
      </c>
      <c r="D350" s="15" t="n">
        <f aca="false">IF($A350="","",MOD($A350-1,12)+1)</f>
        <v>12</v>
      </c>
      <c r="E350" s="16" t="n">
        <f aca="false">IF($A350&gt;PARAMETROS!$C$33,"",P349)</f>
        <v>0</v>
      </c>
      <c r="F350" s="17" t="n">
        <f aca="false">IF($A350&gt;PARAMETROS!$C$33,"",PARAMETROS!$C$38)</f>
        <v>0.00495440818448101</v>
      </c>
      <c r="G350" s="16" t="n">
        <f aca="false">IF($A350&gt;PARAMETROS!$C$33,"",E350*F350)</f>
        <v>0</v>
      </c>
      <c r="H350" s="16" t="n">
        <f aca="false">IF($A350&gt;PARAMETROS!$C$33,"",E350*PARAMETROS!$C$39)</f>
        <v>0</v>
      </c>
      <c r="I350" s="16" t="n">
        <f aca="false">IF($A350&gt;PARAMETROS!$C$33,"",G350-H350)</f>
        <v>0</v>
      </c>
      <c r="J350" s="16" t="n">
        <f aca="false">IF($A350&gt;PARAMETROS!$C$33,"",PARAMETROS!$C$9*(1+PARAMETROS!$C$17)^(B350-1))</f>
        <v>88519.1437555839</v>
      </c>
      <c r="K350" s="16" t="n">
        <f aca="false">IF($A350&gt;PARAMETROS!$C$33,"",K349*(1+PARAMETROS!$C$36))</f>
        <v>83889.8784282386</v>
      </c>
      <c r="L350" s="16" t="n">
        <f aca="false">IF($A350&gt;PARAMETROS!$C$33,"",L349*(1+PARAMETROS!$C$37)*(1+M350))</f>
        <v>39077.4722951143</v>
      </c>
      <c r="M350" s="17" t="n">
        <f aca="false">IF($A350&gt;PARAMETROS!$C$33,"",IF(C350&lt;70,PARAMETROS!$C$40,IF(C350&lt;75,PARAMETROS!$C$41,IF(C350&lt;80,PARAMETROS!$C$42,IF(C350&lt;85,PARAMETROS!$C$43,IF(C350&lt;90,PARAMETROS!$C$44,PARAMETROS!$C$45))))))</f>
        <v>0</v>
      </c>
      <c r="N350" s="16" t="n">
        <f aca="false">IF($A350&gt;PARAMETROS!$C$33,"",K350+L350)</f>
        <v>122967.350723353</v>
      </c>
      <c r="O350" s="16" t="n">
        <f aca="false">IF($A350&gt;PARAMETROS!$C$33,"",I350+J350-N350)</f>
        <v>-34448.206967769</v>
      </c>
      <c r="P350" s="16" t="n">
        <f aca="false">IF($A350&gt;PARAMETROS!$C$33,"",MAX(E350+I350+J350-N350,0))</f>
        <v>0</v>
      </c>
      <c r="Q350" s="18" t="str">
        <f aca="false">IF($A350&gt;PARAMETROS!$C$33,"",IF(P350&lt;=0,"AGOTADO","OK"))</f>
        <v>AGOTADO</v>
      </c>
    </row>
    <row r="351" customFormat="false" ht="15" hidden="false" customHeight="false" outlineLevel="0" collapsed="false">
      <c r="A351" s="19" t="n">
        <f aca="false">A350+1</f>
        <v>349</v>
      </c>
      <c r="B351" s="19" t="n">
        <f aca="false">IF($A351="","",ROUNDUP($A351/12,0))</f>
        <v>30</v>
      </c>
      <c r="C351" s="19" t="n">
        <f aca="false">IF($A351="","",PARAMETROS!$C$6+INT(($A351-1)/12))</f>
        <v>94</v>
      </c>
      <c r="D351" s="19" t="n">
        <f aca="false">IF($A351="","",MOD($A351-1,12)+1)</f>
        <v>1</v>
      </c>
      <c r="E351" s="20" t="n">
        <f aca="false">IF($A351&gt;PARAMETROS!$C$33,"",P350)</f>
        <v>0</v>
      </c>
      <c r="F351" s="21" t="n">
        <f aca="false">IF($A351&gt;PARAMETROS!$C$33,"",PARAMETROS!$C$38)</f>
        <v>0.00495440818448101</v>
      </c>
      <c r="G351" s="20" t="n">
        <f aca="false">IF($A351&gt;PARAMETROS!$C$33,"",E351*F351)</f>
        <v>0</v>
      </c>
      <c r="H351" s="20" t="n">
        <f aca="false">IF($A351&gt;PARAMETROS!$C$33,"",E351*PARAMETROS!$C$39)</f>
        <v>0</v>
      </c>
      <c r="I351" s="20" t="n">
        <f aca="false">IF($A351&gt;PARAMETROS!$C$33,"",G351-H351)</f>
        <v>0</v>
      </c>
      <c r="J351" s="20" t="n">
        <f aca="false">IF($A351&gt;PARAMETROS!$C$33,"",PARAMETROS!$C$9*(1+PARAMETROS!$C$17)^(B351-1))</f>
        <v>92006.7980195539</v>
      </c>
      <c r="K351" s="20" t="n">
        <f aca="false">IF($A351&gt;PARAMETROS!$C$33,"",K350*(1+PARAMETROS!$C$36))</f>
        <v>84177.3148512655</v>
      </c>
      <c r="L351" s="20" t="n">
        <f aca="false">IF($A351&gt;PARAMETROS!$C$33,"",L350*(1+PARAMETROS!$C$37)*(1+M351))</f>
        <v>39231.6928358116</v>
      </c>
      <c r="M351" s="21" t="n">
        <f aca="false">IF($A351&gt;PARAMETROS!$C$33,"",IF(C351&lt;70,PARAMETROS!$C$40,IF(C351&lt;75,PARAMETROS!$C$41,IF(C351&lt;80,PARAMETROS!$C$42,IF(C351&lt;85,PARAMETROS!$C$43,IF(C351&lt;90,PARAMETROS!$C$44,PARAMETROS!$C$45))))))</f>
        <v>0</v>
      </c>
      <c r="N351" s="20" t="n">
        <f aca="false">IF($A351&gt;PARAMETROS!$C$33,"",K351+L351)</f>
        <v>123409.007687077</v>
      </c>
      <c r="O351" s="20" t="n">
        <f aca="false">IF($A351&gt;PARAMETROS!$C$33,"",I351+J351-N351)</f>
        <v>-31402.2096675233</v>
      </c>
      <c r="P351" s="20" t="n">
        <f aca="false">IF($A351&gt;PARAMETROS!$C$33,"",MAX(E351+I351+J351-N351,0))</f>
        <v>0</v>
      </c>
      <c r="Q351" s="22" t="str">
        <f aca="false">IF($A351&gt;PARAMETROS!$C$33,"",IF(P351&lt;=0,"AGOTADO","OK"))</f>
        <v>AGOTADO</v>
      </c>
    </row>
    <row r="352" customFormat="false" ht="15" hidden="false" customHeight="false" outlineLevel="0" collapsed="false">
      <c r="A352" s="19" t="n">
        <f aca="false">A351+1</f>
        <v>350</v>
      </c>
      <c r="B352" s="19" t="n">
        <f aca="false">IF($A352="","",ROUNDUP($A352/12,0))</f>
        <v>30</v>
      </c>
      <c r="C352" s="19" t="n">
        <f aca="false">IF($A352="","",PARAMETROS!$C$6+INT(($A352-1)/12))</f>
        <v>94</v>
      </c>
      <c r="D352" s="19" t="n">
        <f aca="false">IF($A352="","",MOD($A352-1,12)+1)</f>
        <v>2</v>
      </c>
      <c r="E352" s="20" t="n">
        <f aca="false">IF($A352&gt;PARAMETROS!$C$33,"",P351)</f>
        <v>0</v>
      </c>
      <c r="F352" s="21" t="n">
        <f aca="false">IF($A352&gt;PARAMETROS!$C$33,"",PARAMETROS!$C$38)</f>
        <v>0.00495440818448101</v>
      </c>
      <c r="G352" s="20" t="n">
        <f aca="false">IF($A352&gt;PARAMETROS!$C$33,"",E352*F352)</f>
        <v>0</v>
      </c>
      <c r="H352" s="20" t="n">
        <f aca="false">IF($A352&gt;PARAMETROS!$C$33,"",E352*PARAMETROS!$C$39)</f>
        <v>0</v>
      </c>
      <c r="I352" s="20" t="n">
        <f aca="false">IF($A352&gt;PARAMETROS!$C$33,"",G352-H352)</f>
        <v>0</v>
      </c>
      <c r="J352" s="20" t="n">
        <f aca="false">IF($A352&gt;PARAMETROS!$C$33,"",PARAMETROS!$C$9*(1+PARAMETROS!$C$17)^(B352-1))</f>
        <v>92006.7980195539</v>
      </c>
      <c r="K352" s="20" t="n">
        <f aca="false">IF($A352&gt;PARAMETROS!$C$33,"",K351*(1+PARAMETROS!$C$36))</f>
        <v>84465.7361332389</v>
      </c>
      <c r="L352" s="20" t="n">
        <f aca="false">IF($A352&gt;PARAMETROS!$C$33,"",L351*(1+PARAMETROS!$C$37)*(1+M352))</f>
        <v>39386.5220129887</v>
      </c>
      <c r="M352" s="21" t="n">
        <f aca="false">IF($A352&gt;PARAMETROS!$C$33,"",IF(C352&lt;70,PARAMETROS!$C$40,IF(C352&lt;75,PARAMETROS!$C$41,IF(C352&lt;80,PARAMETROS!$C$42,IF(C352&lt;85,PARAMETROS!$C$43,IF(C352&lt;90,PARAMETROS!$C$44,PARAMETROS!$C$45))))))</f>
        <v>0</v>
      </c>
      <c r="N352" s="20" t="n">
        <f aca="false">IF($A352&gt;PARAMETROS!$C$33,"",K352+L352)</f>
        <v>123852.258146228</v>
      </c>
      <c r="O352" s="20" t="n">
        <f aca="false">IF($A352&gt;PARAMETROS!$C$33,"",I352+J352-N352)</f>
        <v>-31845.4601266737</v>
      </c>
      <c r="P352" s="20" t="n">
        <f aca="false">IF($A352&gt;PARAMETROS!$C$33,"",MAX(E352+I352+J352-N352,0))</f>
        <v>0</v>
      </c>
      <c r="Q352" s="22" t="str">
        <f aca="false">IF($A352&gt;PARAMETROS!$C$33,"",IF(P352&lt;=0,"AGOTADO","OK"))</f>
        <v>AGOTADO</v>
      </c>
    </row>
    <row r="353" customFormat="false" ht="15" hidden="false" customHeight="false" outlineLevel="0" collapsed="false">
      <c r="A353" s="19" t="n">
        <f aca="false">A352+1</f>
        <v>351</v>
      </c>
      <c r="B353" s="19" t="n">
        <f aca="false">IF($A353="","",ROUNDUP($A353/12,0))</f>
        <v>30</v>
      </c>
      <c r="C353" s="19" t="n">
        <f aca="false">IF($A353="","",PARAMETROS!$C$6+INT(($A353-1)/12))</f>
        <v>94</v>
      </c>
      <c r="D353" s="19" t="n">
        <f aca="false">IF($A353="","",MOD($A353-1,12)+1)</f>
        <v>3</v>
      </c>
      <c r="E353" s="20" t="n">
        <f aca="false">IF($A353&gt;PARAMETROS!$C$33,"",P352)</f>
        <v>0</v>
      </c>
      <c r="F353" s="21" t="n">
        <f aca="false">IF($A353&gt;PARAMETROS!$C$33,"",PARAMETROS!$C$38)</f>
        <v>0.00495440818448101</v>
      </c>
      <c r="G353" s="20" t="n">
        <f aca="false">IF($A353&gt;PARAMETROS!$C$33,"",E353*F353)</f>
        <v>0</v>
      </c>
      <c r="H353" s="20" t="n">
        <f aca="false">IF($A353&gt;PARAMETROS!$C$33,"",E353*PARAMETROS!$C$39)</f>
        <v>0</v>
      </c>
      <c r="I353" s="20" t="n">
        <f aca="false">IF($A353&gt;PARAMETROS!$C$33,"",G353-H353)</f>
        <v>0</v>
      </c>
      <c r="J353" s="20" t="n">
        <f aca="false">IF($A353&gt;PARAMETROS!$C$33,"",PARAMETROS!$C$9*(1+PARAMETROS!$C$17)^(B353-1))</f>
        <v>92006.7980195539</v>
      </c>
      <c r="K353" s="20" t="n">
        <f aca="false">IF($A353&gt;PARAMETROS!$C$33,"",K352*(1+PARAMETROS!$C$36))</f>
        <v>84755.1456486341</v>
      </c>
      <c r="L353" s="20" t="n">
        <f aca="false">IF($A353&gt;PARAMETROS!$C$33,"",L352*(1+PARAMETROS!$C$37)*(1+M353))</f>
        <v>39541.9622286495</v>
      </c>
      <c r="M353" s="21" t="n">
        <f aca="false">IF($A353&gt;PARAMETROS!$C$33,"",IF(C353&lt;70,PARAMETROS!$C$40,IF(C353&lt;75,PARAMETROS!$C$41,IF(C353&lt;80,PARAMETROS!$C$42,IF(C353&lt;85,PARAMETROS!$C$43,IF(C353&lt;90,PARAMETROS!$C$44,PARAMETROS!$C$45))))))</f>
        <v>0</v>
      </c>
      <c r="N353" s="20" t="n">
        <f aca="false">IF($A353&gt;PARAMETROS!$C$33,"",K353+L353)</f>
        <v>124297.107877284</v>
      </c>
      <c r="O353" s="20" t="n">
        <f aca="false">IF($A353&gt;PARAMETROS!$C$33,"",I353+J353-N353)</f>
        <v>-32290.3098577296</v>
      </c>
      <c r="P353" s="20" t="n">
        <f aca="false">IF($A353&gt;PARAMETROS!$C$33,"",MAX(E353+I353+J353-N353,0))</f>
        <v>0</v>
      </c>
      <c r="Q353" s="22" t="str">
        <f aca="false">IF($A353&gt;PARAMETROS!$C$33,"",IF(P353&lt;=0,"AGOTADO","OK"))</f>
        <v>AGOTADO</v>
      </c>
    </row>
    <row r="354" customFormat="false" ht="15" hidden="false" customHeight="false" outlineLevel="0" collapsed="false">
      <c r="A354" s="19" t="n">
        <f aca="false">A353+1</f>
        <v>352</v>
      </c>
      <c r="B354" s="19" t="n">
        <f aca="false">IF($A354="","",ROUNDUP($A354/12,0))</f>
        <v>30</v>
      </c>
      <c r="C354" s="19" t="n">
        <f aca="false">IF($A354="","",PARAMETROS!$C$6+INT(($A354-1)/12))</f>
        <v>94</v>
      </c>
      <c r="D354" s="19" t="n">
        <f aca="false">IF($A354="","",MOD($A354-1,12)+1)</f>
        <v>4</v>
      </c>
      <c r="E354" s="20" t="n">
        <f aca="false">IF($A354&gt;PARAMETROS!$C$33,"",P353)</f>
        <v>0</v>
      </c>
      <c r="F354" s="21" t="n">
        <f aca="false">IF($A354&gt;PARAMETROS!$C$33,"",PARAMETROS!$C$38)</f>
        <v>0.00495440818448101</v>
      </c>
      <c r="G354" s="20" t="n">
        <f aca="false">IF($A354&gt;PARAMETROS!$C$33,"",E354*F354)</f>
        <v>0</v>
      </c>
      <c r="H354" s="20" t="n">
        <f aca="false">IF($A354&gt;PARAMETROS!$C$33,"",E354*PARAMETROS!$C$39)</f>
        <v>0</v>
      </c>
      <c r="I354" s="20" t="n">
        <f aca="false">IF($A354&gt;PARAMETROS!$C$33,"",G354-H354)</f>
        <v>0</v>
      </c>
      <c r="J354" s="20" t="n">
        <f aca="false">IF($A354&gt;PARAMETROS!$C$33,"",PARAMETROS!$C$9*(1+PARAMETROS!$C$17)^(B354-1))</f>
        <v>92006.7980195539</v>
      </c>
      <c r="K354" s="20" t="n">
        <f aca="false">IF($A354&gt;PARAMETROS!$C$33,"",K353*(1+PARAMETROS!$C$36))</f>
        <v>85045.5467834887</v>
      </c>
      <c r="L354" s="20" t="n">
        <f aca="false">IF($A354&gt;PARAMETROS!$C$33,"",L353*(1+PARAMETROS!$C$37)*(1+M354))</f>
        <v>39698.0158942776</v>
      </c>
      <c r="M354" s="21" t="n">
        <f aca="false">IF($A354&gt;PARAMETROS!$C$33,"",IF(C354&lt;70,PARAMETROS!$C$40,IF(C354&lt;75,PARAMETROS!$C$41,IF(C354&lt;80,PARAMETROS!$C$42,IF(C354&lt;85,PARAMETROS!$C$43,IF(C354&lt;90,PARAMETROS!$C$44,PARAMETROS!$C$45))))))</f>
        <v>0</v>
      </c>
      <c r="N354" s="20" t="n">
        <f aca="false">IF($A354&gt;PARAMETROS!$C$33,"",K354+L354)</f>
        <v>124743.562677766</v>
      </c>
      <c r="O354" s="20" t="n">
        <f aca="false">IF($A354&gt;PARAMETROS!$C$33,"",I354+J354-N354)</f>
        <v>-32736.7646582124</v>
      </c>
      <c r="P354" s="20" t="n">
        <f aca="false">IF($A354&gt;PARAMETROS!$C$33,"",MAX(E354+I354+J354-N354,0))</f>
        <v>0</v>
      </c>
      <c r="Q354" s="22" t="str">
        <f aca="false">IF($A354&gt;PARAMETROS!$C$33,"",IF(P354&lt;=0,"AGOTADO","OK"))</f>
        <v>AGOTADO</v>
      </c>
    </row>
    <row r="355" customFormat="false" ht="15" hidden="false" customHeight="false" outlineLevel="0" collapsed="false">
      <c r="A355" s="19" t="n">
        <f aca="false">A354+1</f>
        <v>353</v>
      </c>
      <c r="B355" s="19" t="n">
        <f aca="false">IF($A355="","",ROUNDUP($A355/12,0))</f>
        <v>30</v>
      </c>
      <c r="C355" s="19" t="n">
        <f aca="false">IF($A355="","",PARAMETROS!$C$6+INT(($A355-1)/12))</f>
        <v>94</v>
      </c>
      <c r="D355" s="19" t="n">
        <f aca="false">IF($A355="","",MOD($A355-1,12)+1)</f>
        <v>5</v>
      </c>
      <c r="E355" s="20" t="n">
        <f aca="false">IF($A355&gt;PARAMETROS!$C$33,"",P354)</f>
        <v>0</v>
      </c>
      <c r="F355" s="21" t="n">
        <f aca="false">IF($A355&gt;PARAMETROS!$C$33,"",PARAMETROS!$C$38)</f>
        <v>0.00495440818448101</v>
      </c>
      <c r="G355" s="20" t="n">
        <f aca="false">IF($A355&gt;PARAMETROS!$C$33,"",E355*F355)</f>
        <v>0</v>
      </c>
      <c r="H355" s="20" t="n">
        <f aca="false">IF($A355&gt;PARAMETROS!$C$33,"",E355*PARAMETROS!$C$39)</f>
        <v>0</v>
      </c>
      <c r="I355" s="20" t="n">
        <f aca="false">IF($A355&gt;PARAMETROS!$C$33,"",G355-H355)</f>
        <v>0</v>
      </c>
      <c r="J355" s="20" t="n">
        <f aca="false">IF($A355&gt;PARAMETROS!$C$33,"",PARAMETROS!$C$9*(1+PARAMETROS!$C$17)^(B355-1))</f>
        <v>92006.7980195539</v>
      </c>
      <c r="K355" s="20" t="n">
        <f aca="false">IF($A355&gt;PARAMETROS!$C$33,"",K354*(1+PARAMETROS!$C$36))</f>
        <v>85336.942935442</v>
      </c>
      <c r="L355" s="20" t="n">
        <f aca="false">IF($A355&gt;PARAMETROS!$C$33,"",L354*(1+PARAMETROS!$C$37)*(1+M355))</f>
        <v>39854.6854308739</v>
      </c>
      <c r="M355" s="21" t="n">
        <f aca="false">IF($A355&gt;PARAMETROS!$C$33,"",IF(C355&lt;70,PARAMETROS!$C$40,IF(C355&lt;75,PARAMETROS!$C$41,IF(C355&lt;80,PARAMETROS!$C$42,IF(C355&lt;85,PARAMETROS!$C$43,IF(C355&lt;90,PARAMETROS!$C$44,PARAMETROS!$C$45))))))</f>
        <v>0</v>
      </c>
      <c r="N355" s="20" t="n">
        <f aca="false">IF($A355&gt;PARAMETROS!$C$33,"",K355+L355)</f>
        <v>125191.628366316</v>
      </c>
      <c r="O355" s="20" t="n">
        <f aca="false">IF($A355&gt;PARAMETROS!$C$33,"",I355+J355-N355)</f>
        <v>-33184.8303467619</v>
      </c>
      <c r="P355" s="20" t="n">
        <f aca="false">IF($A355&gt;PARAMETROS!$C$33,"",MAX(E355+I355+J355-N355,0))</f>
        <v>0</v>
      </c>
      <c r="Q355" s="22" t="str">
        <f aca="false">IF($A355&gt;PARAMETROS!$C$33,"",IF(P355&lt;=0,"AGOTADO","OK"))</f>
        <v>AGOTADO</v>
      </c>
    </row>
    <row r="356" customFormat="false" ht="15" hidden="false" customHeight="false" outlineLevel="0" collapsed="false">
      <c r="A356" s="19" t="n">
        <f aca="false">A355+1</f>
        <v>354</v>
      </c>
      <c r="B356" s="19" t="n">
        <f aca="false">IF($A356="","",ROUNDUP($A356/12,0))</f>
        <v>30</v>
      </c>
      <c r="C356" s="19" t="n">
        <f aca="false">IF($A356="","",PARAMETROS!$C$6+INT(($A356-1)/12))</f>
        <v>94</v>
      </c>
      <c r="D356" s="19" t="n">
        <f aca="false">IF($A356="","",MOD($A356-1,12)+1)</f>
        <v>6</v>
      </c>
      <c r="E356" s="20" t="n">
        <f aca="false">IF($A356&gt;PARAMETROS!$C$33,"",P355)</f>
        <v>0</v>
      </c>
      <c r="F356" s="21" t="n">
        <f aca="false">IF($A356&gt;PARAMETROS!$C$33,"",PARAMETROS!$C$38)</f>
        <v>0.00495440818448101</v>
      </c>
      <c r="G356" s="20" t="n">
        <f aca="false">IF($A356&gt;PARAMETROS!$C$33,"",E356*F356)</f>
        <v>0</v>
      </c>
      <c r="H356" s="20" t="n">
        <f aca="false">IF($A356&gt;PARAMETROS!$C$33,"",E356*PARAMETROS!$C$39)</f>
        <v>0</v>
      </c>
      <c r="I356" s="20" t="n">
        <f aca="false">IF($A356&gt;PARAMETROS!$C$33,"",G356-H356)</f>
        <v>0</v>
      </c>
      <c r="J356" s="20" t="n">
        <f aca="false">IF($A356&gt;PARAMETROS!$C$33,"",PARAMETROS!$C$9*(1+PARAMETROS!$C$17)^(B356-1))</f>
        <v>92006.7980195539</v>
      </c>
      <c r="K356" s="20" t="n">
        <f aca="false">IF($A356&gt;PARAMETROS!$C$33,"",K355*(1+PARAMETROS!$C$36))</f>
        <v>85629.3375137748</v>
      </c>
      <c r="L356" s="20" t="n">
        <f aca="false">IF($A356&gt;PARAMETROS!$C$33,"",L355*(1+PARAMETROS!$C$37)*(1+M356))</f>
        <v>40011.9732689933</v>
      </c>
      <c r="M356" s="21" t="n">
        <f aca="false">IF($A356&gt;PARAMETROS!$C$33,"",IF(C356&lt;70,PARAMETROS!$C$40,IF(C356&lt;75,PARAMETROS!$C$41,IF(C356&lt;80,PARAMETROS!$C$42,IF(C356&lt;85,PARAMETROS!$C$43,IF(C356&lt;90,PARAMETROS!$C$44,PARAMETROS!$C$45))))))</f>
        <v>0</v>
      </c>
      <c r="N356" s="20" t="n">
        <f aca="false">IF($A356&gt;PARAMETROS!$C$33,"",K356+L356)</f>
        <v>125641.310782768</v>
      </c>
      <c r="O356" s="20" t="n">
        <f aca="false">IF($A356&gt;PARAMETROS!$C$33,"",I356+J356-N356)</f>
        <v>-33634.5127632143</v>
      </c>
      <c r="P356" s="20" t="n">
        <f aca="false">IF($A356&gt;PARAMETROS!$C$33,"",MAX(E356+I356+J356-N356,0))</f>
        <v>0</v>
      </c>
      <c r="Q356" s="22" t="str">
        <f aca="false">IF($A356&gt;PARAMETROS!$C$33,"",IF(P356&lt;=0,"AGOTADO","OK"))</f>
        <v>AGOTADO</v>
      </c>
    </row>
    <row r="357" customFormat="false" ht="15" hidden="false" customHeight="false" outlineLevel="0" collapsed="false">
      <c r="A357" s="19" t="n">
        <f aca="false">A356+1</f>
        <v>355</v>
      </c>
      <c r="B357" s="19" t="n">
        <f aca="false">IF($A357="","",ROUNDUP($A357/12,0))</f>
        <v>30</v>
      </c>
      <c r="C357" s="19" t="n">
        <f aca="false">IF($A357="","",PARAMETROS!$C$6+INT(($A357-1)/12))</f>
        <v>94</v>
      </c>
      <c r="D357" s="19" t="n">
        <f aca="false">IF($A357="","",MOD($A357-1,12)+1)</f>
        <v>7</v>
      </c>
      <c r="E357" s="20" t="n">
        <f aca="false">IF($A357&gt;PARAMETROS!$C$33,"",P356)</f>
        <v>0</v>
      </c>
      <c r="F357" s="21" t="n">
        <f aca="false">IF($A357&gt;PARAMETROS!$C$33,"",PARAMETROS!$C$38)</f>
        <v>0.00495440818448101</v>
      </c>
      <c r="G357" s="20" t="n">
        <f aca="false">IF($A357&gt;PARAMETROS!$C$33,"",E357*F357)</f>
        <v>0</v>
      </c>
      <c r="H357" s="20" t="n">
        <f aca="false">IF($A357&gt;PARAMETROS!$C$33,"",E357*PARAMETROS!$C$39)</f>
        <v>0</v>
      </c>
      <c r="I357" s="20" t="n">
        <f aca="false">IF($A357&gt;PARAMETROS!$C$33,"",G357-H357)</f>
        <v>0</v>
      </c>
      <c r="J357" s="20" t="n">
        <f aca="false">IF($A357&gt;PARAMETROS!$C$33,"",PARAMETROS!$C$9*(1+PARAMETROS!$C$17)^(B357-1))</f>
        <v>92006.7980195539</v>
      </c>
      <c r="K357" s="20" t="n">
        <f aca="false">IF($A357&gt;PARAMETROS!$C$33,"",K356*(1+PARAMETROS!$C$36))</f>
        <v>85922.7339394495</v>
      </c>
      <c r="L357" s="20" t="n">
        <f aca="false">IF($A357&gt;PARAMETROS!$C$33,"",L356*(1+PARAMETROS!$C$37)*(1+M357))</f>
        <v>40169.8818487835</v>
      </c>
      <c r="M357" s="21" t="n">
        <f aca="false">IF($A357&gt;PARAMETROS!$C$33,"",IF(C357&lt;70,PARAMETROS!$C$40,IF(C357&lt;75,PARAMETROS!$C$41,IF(C357&lt;80,PARAMETROS!$C$42,IF(C357&lt;85,PARAMETROS!$C$43,IF(C357&lt;90,PARAMETROS!$C$44,PARAMETROS!$C$45))))))</f>
        <v>0</v>
      </c>
      <c r="N357" s="20" t="n">
        <f aca="false">IF($A357&gt;PARAMETROS!$C$33,"",K357+L357)</f>
        <v>126092.615788233</v>
      </c>
      <c r="O357" s="20" t="n">
        <f aca="false">IF($A357&gt;PARAMETROS!$C$33,"",I357+J357-N357)</f>
        <v>-34085.8177686791</v>
      </c>
      <c r="P357" s="20" t="n">
        <f aca="false">IF($A357&gt;PARAMETROS!$C$33,"",MAX(E357+I357+J357-N357,0))</f>
        <v>0</v>
      </c>
      <c r="Q357" s="22" t="str">
        <f aca="false">IF($A357&gt;PARAMETROS!$C$33,"",IF(P357&lt;=0,"AGOTADO","OK"))</f>
        <v>AGOTADO</v>
      </c>
    </row>
    <row r="358" customFormat="false" ht="15" hidden="false" customHeight="false" outlineLevel="0" collapsed="false">
      <c r="A358" s="19" t="n">
        <f aca="false">A357+1</f>
        <v>356</v>
      </c>
      <c r="B358" s="19" t="n">
        <f aca="false">IF($A358="","",ROUNDUP($A358/12,0))</f>
        <v>30</v>
      </c>
      <c r="C358" s="19" t="n">
        <f aca="false">IF($A358="","",PARAMETROS!$C$6+INT(($A358-1)/12))</f>
        <v>94</v>
      </c>
      <c r="D358" s="19" t="n">
        <f aca="false">IF($A358="","",MOD($A358-1,12)+1)</f>
        <v>8</v>
      </c>
      <c r="E358" s="20" t="n">
        <f aca="false">IF($A358&gt;PARAMETROS!$C$33,"",P357)</f>
        <v>0</v>
      </c>
      <c r="F358" s="21" t="n">
        <f aca="false">IF($A358&gt;PARAMETROS!$C$33,"",PARAMETROS!$C$38)</f>
        <v>0.00495440818448101</v>
      </c>
      <c r="G358" s="20" t="n">
        <f aca="false">IF($A358&gt;PARAMETROS!$C$33,"",E358*F358)</f>
        <v>0</v>
      </c>
      <c r="H358" s="20" t="n">
        <f aca="false">IF($A358&gt;PARAMETROS!$C$33,"",E358*PARAMETROS!$C$39)</f>
        <v>0</v>
      </c>
      <c r="I358" s="20" t="n">
        <f aca="false">IF($A358&gt;PARAMETROS!$C$33,"",G358-H358)</f>
        <v>0</v>
      </c>
      <c r="J358" s="20" t="n">
        <f aca="false">IF($A358&gt;PARAMETROS!$C$33,"",PARAMETROS!$C$9*(1+PARAMETROS!$C$17)^(B358-1))</f>
        <v>92006.7980195539</v>
      </c>
      <c r="K358" s="20" t="n">
        <f aca="false">IF($A358&gt;PARAMETROS!$C$33,"",K357*(1+PARAMETROS!$C$36))</f>
        <v>86217.1356451497</v>
      </c>
      <c r="L358" s="20" t="n">
        <f aca="false">IF($A358&gt;PARAMETROS!$C$33,"",L357*(1+PARAMETROS!$C$37)*(1+M358))</f>
        <v>40328.413620022</v>
      </c>
      <c r="M358" s="21" t="n">
        <f aca="false">IF($A358&gt;PARAMETROS!$C$33,"",IF(C358&lt;70,PARAMETROS!$C$40,IF(C358&lt;75,PARAMETROS!$C$41,IF(C358&lt;80,PARAMETROS!$C$42,IF(C358&lt;85,PARAMETROS!$C$43,IF(C358&lt;90,PARAMETROS!$C$44,PARAMETROS!$C$45))))))</f>
        <v>0</v>
      </c>
      <c r="N358" s="20" t="n">
        <f aca="false">IF($A358&gt;PARAMETROS!$C$33,"",K358+L358)</f>
        <v>126545.549265172</v>
      </c>
      <c r="O358" s="20" t="n">
        <f aca="false">IF($A358&gt;PARAMETROS!$C$33,"",I358+J358-N358)</f>
        <v>-34538.7512456178</v>
      </c>
      <c r="P358" s="20" t="n">
        <f aca="false">IF($A358&gt;PARAMETROS!$C$33,"",MAX(E358+I358+J358-N358,0))</f>
        <v>0</v>
      </c>
      <c r="Q358" s="22" t="str">
        <f aca="false">IF($A358&gt;PARAMETROS!$C$33,"",IF(P358&lt;=0,"AGOTADO","OK"))</f>
        <v>AGOTADO</v>
      </c>
    </row>
    <row r="359" customFormat="false" ht="15" hidden="false" customHeight="false" outlineLevel="0" collapsed="false">
      <c r="A359" s="19" t="n">
        <f aca="false">A358+1</f>
        <v>357</v>
      </c>
      <c r="B359" s="19" t="n">
        <f aca="false">IF($A359="","",ROUNDUP($A359/12,0))</f>
        <v>30</v>
      </c>
      <c r="C359" s="19" t="n">
        <f aca="false">IF($A359="","",PARAMETROS!$C$6+INT(($A359-1)/12))</f>
        <v>94</v>
      </c>
      <c r="D359" s="19" t="n">
        <f aca="false">IF($A359="","",MOD($A359-1,12)+1)</f>
        <v>9</v>
      </c>
      <c r="E359" s="20" t="n">
        <f aca="false">IF($A359&gt;PARAMETROS!$C$33,"",P358)</f>
        <v>0</v>
      </c>
      <c r="F359" s="21" t="n">
        <f aca="false">IF($A359&gt;PARAMETROS!$C$33,"",PARAMETROS!$C$38)</f>
        <v>0.00495440818448101</v>
      </c>
      <c r="G359" s="20" t="n">
        <f aca="false">IF($A359&gt;PARAMETROS!$C$33,"",E359*F359)</f>
        <v>0</v>
      </c>
      <c r="H359" s="20" t="n">
        <f aca="false">IF($A359&gt;PARAMETROS!$C$33,"",E359*PARAMETROS!$C$39)</f>
        <v>0</v>
      </c>
      <c r="I359" s="20" t="n">
        <f aca="false">IF($A359&gt;PARAMETROS!$C$33,"",G359-H359)</f>
        <v>0</v>
      </c>
      <c r="J359" s="20" t="n">
        <f aca="false">IF($A359&gt;PARAMETROS!$C$33,"",PARAMETROS!$C$9*(1+PARAMETROS!$C$17)^(B359-1))</f>
        <v>92006.7980195539</v>
      </c>
      <c r="K359" s="20" t="n">
        <f aca="false">IF($A359&gt;PARAMETROS!$C$33,"",K358*(1+PARAMETROS!$C$36))</f>
        <v>86512.5460753206</v>
      </c>
      <c r="L359" s="20" t="n">
        <f aca="false">IF($A359&gt;PARAMETROS!$C$33,"",L358*(1+PARAMETROS!$C$37)*(1+M359))</f>
        <v>40487.5710421545</v>
      </c>
      <c r="M359" s="21" t="n">
        <f aca="false">IF($A359&gt;PARAMETROS!$C$33,"",IF(C359&lt;70,PARAMETROS!$C$40,IF(C359&lt;75,PARAMETROS!$C$41,IF(C359&lt;80,PARAMETROS!$C$42,IF(C359&lt;85,PARAMETROS!$C$43,IF(C359&lt;90,PARAMETROS!$C$44,PARAMETROS!$C$45))))))</f>
        <v>0</v>
      </c>
      <c r="N359" s="20" t="n">
        <f aca="false">IF($A359&gt;PARAMETROS!$C$33,"",K359+L359)</f>
        <v>127000.117117475</v>
      </c>
      <c r="O359" s="20" t="n">
        <f aca="false">IF($A359&gt;PARAMETROS!$C$33,"",I359+J359-N359)</f>
        <v>-34993.3190979213</v>
      </c>
      <c r="P359" s="20" t="n">
        <f aca="false">IF($A359&gt;PARAMETROS!$C$33,"",MAX(E359+I359+J359-N359,0))</f>
        <v>0</v>
      </c>
      <c r="Q359" s="22" t="str">
        <f aca="false">IF($A359&gt;PARAMETROS!$C$33,"",IF(P359&lt;=0,"AGOTADO","OK"))</f>
        <v>AGOTADO</v>
      </c>
    </row>
    <row r="360" customFormat="false" ht="15" hidden="false" customHeight="false" outlineLevel="0" collapsed="false">
      <c r="A360" s="19" t="n">
        <f aca="false">A359+1</f>
        <v>358</v>
      </c>
      <c r="B360" s="19" t="n">
        <f aca="false">IF($A360="","",ROUNDUP($A360/12,0))</f>
        <v>30</v>
      </c>
      <c r="C360" s="19" t="n">
        <f aca="false">IF($A360="","",PARAMETROS!$C$6+INT(($A360-1)/12))</f>
        <v>94</v>
      </c>
      <c r="D360" s="19" t="n">
        <f aca="false">IF($A360="","",MOD($A360-1,12)+1)</f>
        <v>10</v>
      </c>
      <c r="E360" s="20" t="n">
        <f aca="false">IF($A360&gt;PARAMETROS!$C$33,"",P359)</f>
        <v>0</v>
      </c>
      <c r="F360" s="21" t="n">
        <f aca="false">IF($A360&gt;PARAMETROS!$C$33,"",PARAMETROS!$C$38)</f>
        <v>0.00495440818448101</v>
      </c>
      <c r="G360" s="20" t="n">
        <f aca="false">IF($A360&gt;PARAMETROS!$C$33,"",E360*F360)</f>
        <v>0</v>
      </c>
      <c r="H360" s="20" t="n">
        <f aca="false">IF($A360&gt;PARAMETROS!$C$33,"",E360*PARAMETROS!$C$39)</f>
        <v>0</v>
      </c>
      <c r="I360" s="20" t="n">
        <f aca="false">IF($A360&gt;PARAMETROS!$C$33,"",G360-H360)</f>
        <v>0</v>
      </c>
      <c r="J360" s="20" t="n">
        <f aca="false">IF($A360&gt;PARAMETROS!$C$33,"",PARAMETROS!$C$9*(1+PARAMETROS!$C$17)^(B360-1))</f>
        <v>92006.7980195539</v>
      </c>
      <c r="K360" s="20" t="n">
        <f aca="false">IF($A360&gt;PARAMETROS!$C$33,"",K359*(1+PARAMETROS!$C$36))</f>
        <v>86808.9686862095</v>
      </c>
      <c r="L360" s="20" t="n">
        <f aca="false">IF($A360&gt;PARAMETROS!$C$33,"",L359*(1+PARAMETROS!$C$37)*(1+M360))</f>
        <v>40647.3565843331</v>
      </c>
      <c r="M360" s="21" t="n">
        <f aca="false">IF($A360&gt;PARAMETROS!$C$33,"",IF(C360&lt;70,PARAMETROS!$C$40,IF(C360&lt;75,PARAMETROS!$C$41,IF(C360&lt;80,PARAMETROS!$C$42,IF(C360&lt;85,PARAMETROS!$C$43,IF(C360&lt;90,PARAMETROS!$C$44,PARAMETROS!$C$45))))))</f>
        <v>0</v>
      </c>
      <c r="N360" s="20" t="n">
        <f aca="false">IF($A360&gt;PARAMETROS!$C$33,"",K360+L360)</f>
        <v>127456.325270543</v>
      </c>
      <c r="O360" s="20" t="n">
        <f aca="false">IF($A360&gt;PARAMETROS!$C$33,"",I360+J360-N360)</f>
        <v>-35449.5272509887</v>
      </c>
      <c r="P360" s="20" t="n">
        <f aca="false">IF($A360&gt;PARAMETROS!$C$33,"",MAX(E360+I360+J360-N360,0))</f>
        <v>0</v>
      </c>
      <c r="Q360" s="22" t="str">
        <f aca="false">IF($A360&gt;PARAMETROS!$C$33,"",IF(P360&lt;=0,"AGOTADO","OK"))</f>
        <v>AGOTADO</v>
      </c>
    </row>
    <row r="361" customFormat="false" ht="15" hidden="false" customHeight="false" outlineLevel="0" collapsed="false">
      <c r="A361" s="19" t="n">
        <f aca="false">A360+1</f>
        <v>359</v>
      </c>
      <c r="B361" s="19" t="n">
        <f aca="false">IF($A361="","",ROUNDUP($A361/12,0))</f>
        <v>30</v>
      </c>
      <c r="C361" s="19" t="n">
        <f aca="false">IF($A361="","",PARAMETROS!$C$6+INT(($A361-1)/12))</f>
        <v>94</v>
      </c>
      <c r="D361" s="19" t="n">
        <f aca="false">IF($A361="","",MOD($A361-1,12)+1)</f>
        <v>11</v>
      </c>
      <c r="E361" s="20" t="n">
        <f aca="false">IF($A361&gt;PARAMETROS!$C$33,"",P360)</f>
        <v>0</v>
      </c>
      <c r="F361" s="21" t="n">
        <f aca="false">IF($A361&gt;PARAMETROS!$C$33,"",PARAMETROS!$C$38)</f>
        <v>0.00495440818448101</v>
      </c>
      <c r="G361" s="20" t="n">
        <f aca="false">IF($A361&gt;PARAMETROS!$C$33,"",E361*F361)</f>
        <v>0</v>
      </c>
      <c r="H361" s="20" t="n">
        <f aca="false">IF($A361&gt;PARAMETROS!$C$33,"",E361*PARAMETROS!$C$39)</f>
        <v>0</v>
      </c>
      <c r="I361" s="20" t="n">
        <f aca="false">IF($A361&gt;PARAMETROS!$C$33,"",G361-H361)</f>
        <v>0</v>
      </c>
      <c r="J361" s="20" t="n">
        <f aca="false">IF($A361&gt;PARAMETROS!$C$33,"",PARAMETROS!$C$9*(1+PARAMETROS!$C$17)^(B361-1))</f>
        <v>92006.7980195539</v>
      </c>
      <c r="K361" s="20" t="n">
        <f aca="false">IF($A361&gt;PARAMETROS!$C$33,"",K360*(1+PARAMETROS!$C$36))</f>
        <v>87106.4069459057</v>
      </c>
      <c r="L361" s="20" t="n">
        <f aca="false">IF($A361&gt;PARAMETROS!$C$33,"",L360*(1+PARAMETROS!$C$37)*(1+M361))</f>
        <v>40807.7727254543</v>
      </c>
      <c r="M361" s="21" t="n">
        <f aca="false">IF($A361&gt;PARAMETROS!$C$33,"",IF(C361&lt;70,PARAMETROS!$C$40,IF(C361&lt;75,PARAMETROS!$C$41,IF(C361&lt;80,PARAMETROS!$C$42,IF(C361&lt;85,PARAMETROS!$C$43,IF(C361&lt;90,PARAMETROS!$C$44,PARAMETROS!$C$45))))))</f>
        <v>0</v>
      </c>
      <c r="N361" s="20" t="n">
        <f aca="false">IF($A361&gt;PARAMETROS!$C$33,"",K361+L361)</f>
        <v>127914.17967136</v>
      </c>
      <c r="O361" s="20" t="n">
        <f aca="false">IF($A361&gt;PARAMETROS!$C$33,"",I361+J361-N361)</f>
        <v>-35907.3816518062</v>
      </c>
      <c r="P361" s="20" t="n">
        <f aca="false">IF($A361&gt;PARAMETROS!$C$33,"",MAX(E361+I361+J361-N361,0))</f>
        <v>0</v>
      </c>
      <c r="Q361" s="22" t="str">
        <f aca="false">IF($A361&gt;PARAMETROS!$C$33,"",IF(P361&lt;=0,"AGOTADO","OK"))</f>
        <v>AGOTADO</v>
      </c>
    </row>
    <row r="362" customFormat="false" ht="15" hidden="false" customHeight="false" outlineLevel="0" collapsed="false">
      <c r="A362" s="19" t="n">
        <f aca="false">A361+1</f>
        <v>360</v>
      </c>
      <c r="B362" s="19" t="n">
        <f aca="false">IF($A362="","",ROUNDUP($A362/12,0))</f>
        <v>30</v>
      </c>
      <c r="C362" s="19" t="n">
        <f aca="false">IF($A362="","",PARAMETROS!$C$6+INT(($A362-1)/12))</f>
        <v>94</v>
      </c>
      <c r="D362" s="19" t="n">
        <f aca="false">IF($A362="","",MOD($A362-1,12)+1)</f>
        <v>12</v>
      </c>
      <c r="E362" s="20" t="n">
        <f aca="false">IF($A362&gt;PARAMETROS!$C$33,"",P361)</f>
        <v>0</v>
      </c>
      <c r="F362" s="21" t="n">
        <f aca="false">IF($A362&gt;PARAMETROS!$C$33,"",PARAMETROS!$C$38)</f>
        <v>0.00495440818448101</v>
      </c>
      <c r="G362" s="20" t="n">
        <f aca="false">IF($A362&gt;PARAMETROS!$C$33,"",E362*F362)</f>
        <v>0</v>
      </c>
      <c r="H362" s="20" t="n">
        <f aca="false">IF($A362&gt;PARAMETROS!$C$33,"",E362*PARAMETROS!$C$39)</f>
        <v>0</v>
      </c>
      <c r="I362" s="20" t="n">
        <f aca="false">IF($A362&gt;PARAMETROS!$C$33,"",G362-H362)</f>
        <v>0</v>
      </c>
      <c r="J362" s="20" t="n">
        <f aca="false">IF($A362&gt;PARAMETROS!$C$33,"",PARAMETROS!$C$9*(1+PARAMETROS!$C$17)^(B362-1))</f>
        <v>92006.7980195539</v>
      </c>
      <c r="K362" s="20" t="n">
        <f aca="false">IF($A362&gt;PARAMETROS!$C$33,"",K361*(1+PARAMETROS!$C$36))</f>
        <v>87404.8643343817</v>
      </c>
      <c r="L362" s="20" t="n">
        <f aca="false">IF($A362&gt;PARAMETROS!$C$33,"",L361*(1+PARAMETROS!$C$37)*(1+M362))</f>
        <v>40968.8219541978</v>
      </c>
      <c r="M362" s="21" t="n">
        <f aca="false">IF($A362&gt;PARAMETROS!$C$33,"",IF(C362&lt;70,PARAMETROS!$C$40,IF(C362&lt;75,PARAMETROS!$C$41,IF(C362&lt;80,PARAMETROS!$C$42,IF(C362&lt;85,PARAMETROS!$C$43,IF(C362&lt;90,PARAMETROS!$C$44,PARAMETROS!$C$45))))))</f>
        <v>0</v>
      </c>
      <c r="N362" s="20" t="n">
        <f aca="false">IF($A362&gt;PARAMETROS!$C$33,"",K362+L362)</f>
        <v>128373.68628858</v>
      </c>
      <c r="O362" s="20" t="n">
        <f aca="false">IF($A362&gt;PARAMETROS!$C$33,"",I362+J362-N362)</f>
        <v>-36366.8882690257</v>
      </c>
      <c r="P362" s="20" t="n">
        <f aca="false">IF($A362&gt;PARAMETROS!$C$33,"",MAX(E362+I362+J362-N362,0))</f>
        <v>0</v>
      </c>
      <c r="Q362" s="22" t="str">
        <f aca="false">IF($A362&gt;PARAMETROS!$C$33,"",IF(P362&lt;=0,"AGOTADO","OK"))</f>
        <v>AGOTADO</v>
      </c>
    </row>
    <row r="363" customFormat="false" ht="15" hidden="false" customHeight="false" outlineLevel="0" collapsed="false">
      <c r="A363" s="15" t="n">
        <f aca="false">A362+1</f>
        <v>361</v>
      </c>
      <c r="B363" s="15" t="n">
        <f aca="false">IF($A363="","",ROUNDUP($A363/12,0))</f>
        <v>31</v>
      </c>
      <c r="C363" s="15" t="n">
        <f aca="false">IF($A363="","",PARAMETROS!$C$6+INT(($A363-1)/12))</f>
        <v>95</v>
      </c>
      <c r="D363" s="15" t="n">
        <f aca="false">IF($A363="","",MOD($A363-1,12)+1)</f>
        <v>1</v>
      </c>
      <c r="E363" s="16" t="str">
        <f aca="false">IF($A363&gt;PARAMETROS!$C$33,"",P362)</f>
        <v/>
      </c>
      <c r="F363" s="17" t="str">
        <f aca="false">IF($A363&gt;PARAMETROS!$C$33,"",PARAMETROS!$C$38)</f>
        <v/>
      </c>
      <c r="G363" s="16" t="str">
        <f aca="false">IF($A363&gt;PARAMETROS!$C$33,"",E363*F363)</f>
        <v/>
      </c>
      <c r="H363" s="16" t="str">
        <f aca="false">IF($A363&gt;PARAMETROS!$C$33,"",E363*PARAMETROS!$C$39)</f>
        <v/>
      </c>
      <c r="I363" s="16" t="str">
        <f aca="false">IF($A363&gt;PARAMETROS!$C$33,"",G363-H363)</f>
        <v/>
      </c>
      <c r="J363" s="16" t="str">
        <f aca="false">IF($A363&gt;PARAMETROS!$C$33,"",PARAMETROS!$C$9*(1+PARAMETROS!$C$17)^(B363-1))</f>
        <v/>
      </c>
      <c r="K363" s="16" t="str">
        <f aca="false">IF($A363&gt;PARAMETROS!$C$33,"",K362*(1+PARAMETROS!$C$36))</f>
        <v/>
      </c>
      <c r="L363" s="16" t="str">
        <f aca="false">IF($A363&gt;PARAMETROS!$C$33,"",L362*(1+PARAMETROS!$C$37)*(1+M363))</f>
        <v/>
      </c>
      <c r="M363" s="17" t="str">
        <f aca="false">IF($A363&gt;PARAMETROS!$C$33,"",IF(C363&lt;70,PARAMETROS!$C$40,IF(C363&lt;75,PARAMETROS!$C$41,IF(C363&lt;80,PARAMETROS!$C$42,IF(C363&lt;85,PARAMETROS!$C$43,IF(C363&lt;90,PARAMETROS!$C$44,PARAMETROS!$C$45))))))</f>
        <v/>
      </c>
      <c r="N363" s="16" t="str">
        <f aca="false">IF($A363&gt;PARAMETROS!$C$33,"",K363+L363)</f>
        <v/>
      </c>
      <c r="O363" s="16" t="str">
        <f aca="false">IF($A363&gt;PARAMETROS!$C$33,"",I363+J363-N363)</f>
        <v/>
      </c>
      <c r="P363" s="16" t="str">
        <f aca="false">IF($A363&gt;PARAMETROS!$C$33,"",MAX(E363+I363+J363-N363,0))</f>
        <v/>
      </c>
      <c r="Q363" s="18" t="str">
        <f aca="false">IF($A363&gt;PARAMETROS!$C$33,"",IF(P363&lt;=0,"AGOTADO","OK"))</f>
        <v/>
      </c>
    </row>
    <row r="364" customFormat="false" ht="15" hidden="false" customHeight="false" outlineLevel="0" collapsed="false">
      <c r="A364" s="15" t="n">
        <f aca="false">A363+1</f>
        <v>362</v>
      </c>
      <c r="B364" s="15" t="n">
        <f aca="false">IF($A364="","",ROUNDUP($A364/12,0))</f>
        <v>31</v>
      </c>
      <c r="C364" s="15" t="n">
        <f aca="false">IF($A364="","",PARAMETROS!$C$6+INT(($A364-1)/12))</f>
        <v>95</v>
      </c>
      <c r="D364" s="15" t="n">
        <f aca="false">IF($A364="","",MOD($A364-1,12)+1)</f>
        <v>2</v>
      </c>
      <c r="E364" s="16" t="str">
        <f aca="false">IF($A364&gt;PARAMETROS!$C$33,"",P363)</f>
        <v/>
      </c>
      <c r="F364" s="17" t="str">
        <f aca="false">IF($A364&gt;PARAMETROS!$C$33,"",PARAMETROS!$C$38)</f>
        <v/>
      </c>
      <c r="G364" s="16" t="str">
        <f aca="false">IF($A364&gt;PARAMETROS!$C$33,"",E364*F364)</f>
        <v/>
      </c>
      <c r="H364" s="16" t="str">
        <f aca="false">IF($A364&gt;PARAMETROS!$C$33,"",E364*PARAMETROS!$C$39)</f>
        <v/>
      </c>
      <c r="I364" s="16" t="str">
        <f aca="false">IF($A364&gt;PARAMETROS!$C$33,"",G364-H364)</f>
        <v/>
      </c>
      <c r="J364" s="16" t="str">
        <f aca="false">IF($A364&gt;PARAMETROS!$C$33,"",PARAMETROS!$C$9*(1+PARAMETROS!$C$17)^(B364-1))</f>
        <v/>
      </c>
      <c r="K364" s="16" t="str">
        <f aca="false">IF($A364&gt;PARAMETROS!$C$33,"",K363*(1+PARAMETROS!$C$36))</f>
        <v/>
      </c>
      <c r="L364" s="16" t="str">
        <f aca="false">IF($A364&gt;PARAMETROS!$C$33,"",L363*(1+PARAMETROS!$C$37)*(1+M364))</f>
        <v/>
      </c>
      <c r="M364" s="17" t="str">
        <f aca="false">IF($A364&gt;PARAMETROS!$C$33,"",IF(C364&lt;70,PARAMETROS!$C$40,IF(C364&lt;75,PARAMETROS!$C$41,IF(C364&lt;80,PARAMETROS!$C$42,IF(C364&lt;85,PARAMETROS!$C$43,IF(C364&lt;90,PARAMETROS!$C$44,PARAMETROS!$C$45))))))</f>
        <v/>
      </c>
      <c r="N364" s="16" t="str">
        <f aca="false">IF($A364&gt;PARAMETROS!$C$33,"",K364+L364)</f>
        <v/>
      </c>
      <c r="O364" s="16" t="str">
        <f aca="false">IF($A364&gt;PARAMETROS!$C$33,"",I364+J364-N364)</f>
        <v/>
      </c>
      <c r="P364" s="16" t="str">
        <f aca="false">IF($A364&gt;PARAMETROS!$C$33,"",MAX(E364+I364+J364-N364,0))</f>
        <v/>
      </c>
      <c r="Q364" s="18" t="str">
        <f aca="false">IF($A364&gt;PARAMETROS!$C$33,"",IF(P364&lt;=0,"AGOTADO","OK"))</f>
        <v/>
      </c>
    </row>
    <row r="365" customFormat="false" ht="15" hidden="false" customHeight="false" outlineLevel="0" collapsed="false">
      <c r="A365" s="15" t="n">
        <f aca="false">A364+1</f>
        <v>363</v>
      </c>
      <c r="B365" s="15" t="n">
        <f aca="false">IF($A365="","",ROUNDUP($A365/12,0))</f>
        <v>31</v>
      </c>
      <c r="C365" s="15" t="n">
        <f aca="false">IF($A365="","",PARAMETROS!$C$6+INT(($A365-1)/12))</f>
        <v>95</v>
      </c>
      <c r="D365" s="15" t="n">
        <f aca="false">IF($A365="","",MOD($A365-1,12)+1)</f>
        <v>3</v>
      </c>
      <c r="E365" s="16" t="str">
        <f aca="false">IF($A365&gt;PARAMETROS!$C$33,"",P364)</f>
        <v/>
      </c>
      <c r="F365" s="17" t="str">
        <f aca="false">IF($A365&gt;PARAMETROS!$C$33,"",PARAMETROS!$C$38)</f>
        <v/>
      </c>
      <c r="G365" s="16" t="str">
        <f aca="false">IF($A365&gt;PARAMETROS!$C$33,"",E365*F365)</f>
        <v/>
      </c>
      <c r="H365" s="16" t="str">
        <f aca="false">IF($A365&gt;PARAMETROS!$C$33,"",E365*PARAMETROS!$C$39)</f>
        <v/>
      </c>
      <c r="I365" s="16" t="str">
        <f aca="false">IF($A365&gt;PARAMETROS!$C$33,"",G365-H365)</f>
        <v/>
      </c>
      <c r="J365" s="16" t="str">
        <f aca="false">IF($A365&gt;PARAMETROS!$C$33,"",PARAMETROS!$C$9*(1+PARAMETROS!$C$17)^(B365-1))</f>
        <v/>
      </c>
      <c r="K365" s="16" t="str">
        <f aca="false">IF($A365&gt;PARAMETROS!$C$33,"",K364*(1+PARAMETROS!$C$36))</f>
        <v/>
      </c>
      <c r="L365" s="16" t="str">
        <f aca="false">IF($A365&gt;PARAMETROS!$C$33,"",L364*(1+PARAMETROS!$C$37)*(1+M365))</f>
        <v/>
      </c>
      <c r="M365" s="17" t="str">
        <f aca="false">IF($A365&gt;PARAMETROS!$C$33,"",IF(C365&lt;70,PARAMETROS!$C$40,IF(C365&lt;75,PARAMETROS!$C$41,IF(C365&lt;80,PARAMETROS!$C$42,IF(C365&lt;85,PARAMETROS!$C$43,IF(C365&lt;90,PARAMETROS!$C$44,PARAMETROS!$C$45))))))</f>
        <v/>
      </c>
      <c r="N365" s="16" t="str">
        <f aca="false">IF($A365&gt;PARAMETROS!$C$33,"",K365+L365)</f>
        <v/>
      </c>
      <c r="O365" s="16" t="str">
        <f aca="false">IF($A365&gt;PARAMETROS!$C$33,"",I365+J365-N365)</f>
        <v/>
      </c>
      <c r="P365" s="16" t="str">
        <f aca="false">IF($A365&gt;PARAMETROS!$C$33,"",MAX(E365+I365+J365-N365,0))</f>
        <v/>
      </c>
      <c r="Q365" s="18" t="str">
        <f aca="false">IF($A365&gt;PARAMETROS!$C$33,"",IF(P365&lt;=0,"AGOTADO","OK"))</f>
        <v/>
      </c>
    </row>
    <row r="366" customFormat="false" ht="15" hidden="false" customHeight="false" outlineLevel="0" collapsed="false">
      <c r="A366" s="15" t="n">
        <f aca="false">A365+1</f>
        <v>364</v>
      </c>
      <c r="B366" s="15" t="n">
        <f aca="false">IF($A366="","",ROUNDUP($A366/12,0))</f>
        <v>31</v>
      </c>
      <c r="C366" s="15" t="n">
        <f aca="false">IF($A366="","",PARAMETROS!$C$6+INT(($A366-1)/12))</f>
        <v>95</v>
      </c>
      <c r="D366" s="15" t="n">
        <f aca="false">IF($A366="","",MOD($A366-1,12)+1)</f>
        <v>4</v>
      </c>
      <c r="E366" s="16" t="str">
        <f aca="false">IF($A366&gt;PARAMETROS!$C$33,"",P365)</f>
        <v/>
      </c>
      <c r="F366" s="17" t="str">
        <f aca="false">IF($A366&gt;PARAMETROS!$C$33,"",PARAMETROS!$C$38)</f>
        <v/>
      </c>
      <c r="G366" s="16" t="str">
        <f aca="false">IF($A366&gt;PARAMETROS!$C$33,"",E366*F366)</f>
        <v/>
      </c>
      <c r="H366" s="16" t="str">
        <f aca="false">IF($A366&gt;PARAMETROS!$C$33,"",E366*PARAMETROS!$C$39)</f>
        <v/>
      </c>
      <c r="I366" s="16" t="str">
        <f aca="false">IF($A366&gt;PARAMETROS!$C$33,"",G366-H366)</f>
        <v/>
      </c>
      <c r="J366" s="16" t="str">
        <f aca="false">IF($A366&gt;PARAMETROS!$C$33,"",PARAMETROS!$C$9*(1+PARAMETROS!$C$17)^(B366-1))</f>
        <v/>
      </c>
      <c r="K366" s="16" t="str">
        <f aca="false">IF($A366&gt;PARAMETROS!$C$33,"",K365*(1+PARAMETROS!$C$36))</f>
        <v/>
      </c>
      <c r="L366" s="16" t="str">
        <f aca="false">IF($A366&gt;PARAMETROS!$C$33,"",L365*(1+PARAMETROS!$C$37)*(1+M366))</f>
        <v/>
      </c>
      <c r="M366" s="17" t="str">
        <f aca="false">IF($A366&gt;PARAMETROS!$C$33,"",IF(C366&lt;70,PARAMETROS!$C$40,IF(C366&lt;75,PARAMETROS!$C$41,IF(C366&lt;80,PARAMETROS!$C$42,IF(C366&lt;85,PARAMETROS!$C$43,IF(C366&lt;90,PARAMETROS!$C$44,PARAMETROS!$C$45))))))</f>
        <v/>
      </c>
      <c r="N366" s="16" t="str">
        <f aca="false">IF($A366&gt;PARAMETROS!$C$33,"",K366+L366)</f>
        <v/>
      </c>
      <c r="O366" s="16" t="str">
        <f aca="false">IF($A366&gt;PARAMETROS!$C$33,"",I366+J366-N366)</f>
        <v/>
      </c>
      <c r="P366" s="16" t="str">
        <f aca="false">IF($A366&gt;PARAMETROS!$C$33,"",MAX(E366+I366+J366-N366,0))</f>
        <v/>
      </c>
      <c r="Q366" s="18" t="str">
        <f aca="false">IF($A366&gt;PARAMETROS!$C$33,"",IF(P366&lt;=0,"AGOTADO","OK"))</f>
        <v/>
      </c>
    </row>
    <row r="367" customFormat="false" ht="15" hidden="false" customHeight="false" outlineLevel="0" collapsed="false">
      <c r="A367" s="15" t="n">
        <f aca="false">A366+1</f>
        <v>365</v>
      </c>
      <c r="B367" s="15" t="n">
        <f aca="false">IF($A367="","",ROUNDUP($A367/12,0))</f>
        <v>31</v>
      </c>
      <c r="C367" s="15" t="n">
        <f aca="false">IF($A367="","",PARAMETROS!$C$6+INT(($A367-1)/12))</f>
        <v>95</v>
      </c>
      <c r="D367" s="15" t="n">
        <f aca="false">IF($A367="","",MOD($A367-1,12)+1)</f>
        <v>5</v>
      </c>
      <c r="E367" s="16" t="str">
        <f aca="false">IF($A367&gt;PARAMETROS!$C$33,"",P366)</f>
        <v/>
      </c>
      <c r="F367" s="17" t="str">
        <f aca="false">IF($A367&gt;PARAMETROS!$C$33,"",PARAMETROS!$C$38)</f>
        <v/>
      </c>
      <c r="G367" s="16" t="str">
        <f aca="false">IF($A367&gt;PARAMETROS!$C$33,"",E367*F367)</f>
        <v/>
      </c>
      <c r="H367" s="16" t="str">
        <f aca="false">IF($A367&gt;PARAMETROS!$C$33,"",E367*PARAMETROS!$C$39)</f>
        <v/>
      </c>
      <c r="I367" s="16" t="str">
        <f aca="false">IF($A367&gt;PARAMETROS!$C$33,"",G367-H367)</f>
        <v/>
      </c>
      <c r="J367" s="16" t="str">
        <f aca="false">IF($A367&gt;PARAMETROS!$C$33,"",PARAMETROS!$C$9*(1+PARAMETROS!$C$17)^(B367-1))</f>
        <v/>
      </c>
      <c r="K367" s="16" t="str">
        <f aca="false">IF($A367&gt;PARAMETROS!$C$33,"",K366*(1+PARAMETROS!$C$36))</f>
        <v/>
      </c>
      <c r="L367" s="16" t="str">
        <f aca="false">IF($A367&gt;PARAMETROS!$C$33,"",L366*(1+PARAMETROS!$C$37)*(1+M367))</f>
        <v/>
      </c>
      <c r="M367" s="17" t="str">
        <f aca="false">IF($A367&gt;PARAMETROS!$C$33,"",IF(C367&lt;70,PARAMETROS!$C$40,IF(C367&lt;75,PARAMETROS!$C$41,IF(C367&lt;80,PARAMETROS!$C$42,IF(C367&lt;85,PARAMETROS!$C$43,IF(C367&lt;90,PARAMETROS!$C$44,PARAMETROS!$C$45))))))</f>
        <v/>
      </c>
      <c r="N367" s="16" t="str">
        <f aca="false">IF($A367&gt;PARAMETROS!$C$33,"",K367+L367)</f>
        <v/>
      </c>
      <c r="O367" s="16" t="str">
        <f aca="false">IF($A367&gt;PARAMETROS!$C$33,"",I367+J367-N367)</f>
        <v/>
      </c>
      <c r="P367" s="16" t="str">
        <f aca="false">IF($A367&gt;PARAMETROS!$C$33,"",MAX(E367+I367+J367-N367,0))</f>
        <v/>
      </c>
      <c r="Q367" s="18" t="str">
        <f aca="false">IF($A367&gt;PARAMETROS!$C$33,"",IF(P367&lt;=0,"AGOTADO","OK"))</f>
        <v/>
      </c>
    </row>
    <row r="368" customFormat="false" ht="15" hidden="false" customHeight="false" outlineLevel="0" collapsed="false">
      <c r="A368" s="15" t="n">
        <f aca="false">A367+1</f>
        <v>366</v>
      </c>
      <c r="B368" s="15" t="n">
        <f aca="false">IF($A368="","",ROUNDUP($A368/12,0))</f>
        <v>31</v>
      </c>
      <c r="C368" s="15" t="n">
        <f aca="false">IF($A368="","",PARAMETROS!$C$6+INT(($A368-1)/12))</f>
        <v>95</v>
      </c>
      <c r="D368" s="15" t="n">
        <f aca="false">IF($A368="","",MOD($A368-1,12)+1)</f>
        <v>6</v>
      </c>
      <c r="E368" s="16" t="str">
        <f aca="false">IF($A368&gt;PARAMETROS!$C$33,"",P367)</f>
        <v/>
      </c>
      <c r="F368" s="17" t="str">
        <f aca="false">IF($A368&gt;PARAMETROS!$C$33,"",PARAMETROS!$C$38)</f>
        <v/>
      </c>
      <c r="G368" s="16" t="str">
        <f aca="false">IF($A368&gt;PARAMETROS!$C$33,"",E368*F368)</f>
        <v/>
      </c>
      <c r="H368" s="16" t="str">
        <f aca="false">IF($A368&gt;PARAMETROS!$C$33,"",E368*PARAMETROS!$C$39)</f>
        <v/>
      </c>
      <c r="I368" s="16" t="str">
        <f aca="false">IF($A368&gt;PARAMETROS!$C$33,"",G368-H368)</f>
        <v/>
      </c>
      <c r="J368" s="16" t="str">
        <f aca="false">IF($A368&gt;PARAMETROS!$C$33,"",PARAMETROS!$C$9*(1+PARAMETROS!$C$17)^(B368-1))</f>
        <v/>
      </c>
      <c r="K368" s="16" t="str">
        <f aca="false">IF($A368&gt;PARAMETROS!$C$33,"",K367*(1+PARAMETROS!$C$36))</f>
        <v/>
      </c>
      <c r="L368" s="16" t="str">
        <f aca="false">IF($A368&gt;PARAMETROS!$C$33,"",L367*(1+PARAMETROS!$C$37)*(1+M368))</f>
        <v/>
      </c>
      <c r="M368" s="17" t="str">
        <f aca="false">IF($A368&gt;PARAMETROS!$C$33,"",IF(C368&lt;70,PARAMETROS!$C$40,IF(C368&lt;75,PARAMETROS!$C$41,IF(C368&lt;80,PARAMETROS!$C$42,IF(C368&lt;85,PARAMETROS!$C$43,IF(C368&lt;90,PARAMETROS!$C$44,PARAMETROS!$C$45))))))</f>
        <v/>
      </c>
      <c r="N368" s="16" t="str">
        <f aca="false">IF($A368&gt;PARAMETROS!$C$33,"",K368+L368)</f>
        <v/>
      </c>
      <c r="O368" s="16" t="str">
        <f aca="false">IF($A368&gt;PARAMETROS!$C$33,"",I368+J368-N368)</f>
        <v/>
      </c>
      <c r="P368" s="16" t="str">
        <f aca="false">IF($A368&gt;PARAMETROS!$C$33,"",MAX(E368+I368+J368-N368,0))</f>
        <v/>
      </c>
      <c r="Q368" s="18" t="str">
        <f aca="false">IF($A368&gt;PARAMETROS!$C$33,"",IF(P368&lt;=0,"AGOTADO","OK"))</f>
        <v/>
      </c>
    </row>
    <row r="369" customFormat="false" ht="15" hidden="false" customHeight="false" outlineLevel="0" collapsed="false">
      <c r="A369" s="15" t="n">
        <f aca="false">A368+1</f>
        <v>367</v>
      </c>
      <c r="B369" s="15" t="n">
        <f aca="false">IF($A369="","",ROUNDUP($A369/12,0))</f>
        <v>31</v>
      </c>
      <c r="C369" s="15" t="n">
        <f aca="false">IF($A369="","",PARAMETROS!$C$6+INT(($A369-1)/12))</f>
        <v>95</v>
      </c>
      <c r="D369" s="15" t="n">
        <f aca="false">IF($A369="","",MOD($A369-1,12)+1)</f>
        <v>7</v>
      </c>
      <c r="E369" s="16" t="str">
        <f aca="false">IF($A369&gt;PARAMETROS!$C$33,"",P368)</f>
        <v/>
      </c>
      <c r="F369" s="17" t="str">
        <f aca="false">IF($A369&gt;PARAMETROS!$C$33,"",PARAMETROS!$C$38)</f>
        <v/>
      </c>
      <c r="G369" s="16" t="str">
        <f aca="false">IF($A369&gt;PARAMETROS!$C$33,"",E369*F369)</f>
        <v/>
      </c>
      <c r="H369" s="16" t="str">
        <f aca="false">IF($A369&gt;PARAMETROS!$C$33,"",E369*PARAMETROS!$C$39)</f>
        <v/>
      </c>
      <c r="I369" s="16" t="str">
        <f aca="false">IF($A369&gt;PARAMETROS!$C$33,"",G369-H369)</f>
        <v/>
      </c>
      <c r="J369" s="16" t="str">
        <f aca="false">IF($A369&gt;PARAMETROS!$C$33,"",PARAMETROS!$C$9*(1+PARAMETROS!$C$17)^(B369-1))</f>
        <v/>
      </c>
      <c r="K369" s="16" t="str">
        <f aca="false">IF($A369&gt;PARAMETROS!$C$33,"",K368*(1+PARAMETROS!$C$36))</f>
        <v/>
      </c>
      <c r="L369" s="16" t="str">
        <f aca="false">IF($A369&gt;PARAMETROS!$C$33,"",L368*(1+PARAMETROS!$C$37)*(1+M369))</f>
        <v/>
      </c>
      <c r="M369" s="17" t="str">
        <f aca="false">IF($A369&gt;PARAMETROS!$C$33,"",IF(C369&lt;70,PARAMETROS!$C$40,IF(C369&lt;75,PARAMETROS!$C$41,IF(C369&lt;80,PARAMETROS!$C$42,IF(C369&lt;85,PARAMETROS!$C$43,IF(C369&lt;90,PARAMETROS!$C$44,PARAMETROS!$C$45))))))</f>
        <v/>
      </c>
      <c r="N369" s="16" t="str">
        <f aca="false">IF($A369&gt;PARAMETROS!$C$33,"",K369+L369)</f>
        <v/>
      </c>
      <c r="O369" s="16" t="str">
        <f aca="false">IF($A369&gt;PARAMETROS!$C$33,"",I369+J369-N369)</f>
        <v/>
      </c>
      <c r="P369" s="16" t="str">
        <f aca="false">IF($A369&gt;PARAMETROS!$C$33,"",MAX(E369+I369+J369-N369,0))</f>
        <v/>
      </c>
      <c r="Q369" s="18" t="str">
        <f aca="false">IF($A369&gt;PARAMETROS!$C$33,"",IF(P369&lt;=0,"AGOTADO","OK"))</f>
        <v/>
      </c>
    </row>
    <row r="370" customFormat="false" ht="15" hidden="false" customHeight="false" outlineLevel="0" collapsed="false">
      <c r="A370" s="15" t="n">
        <f aca="false">A369+1</f>
        <v>368</v>
      </c>
      <c r="B370" s="15" t="n">
        <f aca="false">IF($A370="","",ROUNDUP($A370/12,0))</f>
        <v>31</v>
      </c>
      <c r="C370" s="15" t="n">
        <f aca="false">IF($A370="","",PARAMETROS!$C$6+INT(($A370-1)/12))</f>
        <v>95</v>
      </c>
      <c r="D370" s="15" t="n">
        <f aca="false">IF($A370="","",MOD($A370-1,12)+1)</f>
        <v>8</v>
      </c>
      <c r="E370" s="16" t="str">
        <f aca="false">IF($A370&gt;PARAMETROS!$C$33,"",P369)</f>
        <v/>
      </c>
      <c r="F370" s="17" t="str">
        <f aca="false">IF($A370&gt;PARAMETROS!$C$33,"",PARAMETROS!$C$38)</f>
        <v/>
      </c>
      <c r="G370" s="16" t="str">
        <f aca="false">IF($A370&gt;PARAMETROS!$C$33,"",E370*F370)</f>
        <v/>
      </c>
      <c r="H370" s="16" t="str">
        <f aca="false">IF($A370&gt;PARAMETROS!$C$33,"",E370*PARAMETROS!$C$39)</f>
        <v/>
      </c>
      <c r="I370" s="16" t="str">
        <f aca="false">IF($A370&gt;PARAMETROS!$C$33,"",G370-H370)</f>
        <v/>
      </c>
      <c r="J370" s="16" t="str">
        <f aca="false">IF($A370&gt;PARAMETROS!$C$33,"",PARAMETROS!$C$9*(1+PARAMETROS!$C$17)^(B370-1))</f>
        <v/>
      </c>
      <c r="K370" s="16" t="str">
        <f aca="false">IF($A370&gt;PARAMETROS!$C$33,"",K369*(1+PARAMETROS!$C$36))</f>
        <v/>
      </c>
      <c r="L370" s="16" t="str">
        <f aca="false">IF($A370&gt;PARAMETROS!$C$33,"",L369*(1+PARAMETROS!$C$37)*(1+M370))</f>
        <v/>
      </c>
      <c r="M370" s="17" t="str">
        <f aca="false">IF($A370&gt;PARAMETROS!$C$33,"",IF(C370&lt;70,PARAMETROS!$C$40,IF(C370&lt;75,PARAMETROS!$C$41,IF(C370&lt;80,PARAMETROS!$C$42,IF(C370&lt;85,PARAMETROS!$C$43,IF(C370&lt;90,PARAMETROS!$C$44,PARAMETROS!$C$45))))))</f>
        <v/>
      </c>
      <c r="N370" s="16" t="str">
        <f aca="false">IF($A370&gt;PARAMETROS!$C$33,"",K370+L370)</f>
        <v/>
      </c>
      <c r="O370" s="16" t="str">
        <f aca="false">IF($A370&gt;PARAMETROS!$C$33,"",I370+J370-N370)</f>
        <v/>
      </c>
      <c r="P370" s="16" t="str">
        <f aca="false">IF($A370&gt;PARAMETROS!$C$33,"",MAX(E370+I370+J370-N370,0))</f>
        <v/>
      </c>
      <c r="Q370" s="18" t="str">
        <f aca="false">IF($A370&gt;PARAMETROS!$C$33,"",IF(P370&lt;=0,"AGOTADO","OK"))</f>
        <v/>
      </c>
    </row>
    <row r="371" customFormat="false" ht="15" hidden="false" customHeight="false" outlineLevel="0" collapsed="false">
      <c r="A371" s="15" t="n">
        <f aca="false">A370+1</f>
        <v>369</v>
      </c>
      <c r="B371" s="15" t="n">
        <f aca="false">IF($A371="","",ROUNDUP($A371/12,0))</f>
        <v>31</v>
      </c>
      <c r="C371" s="15" t="n">
        <f aca="false">IF($A371="","",PARAMETROS!$C$6+INT(($A371-1)/12))</f>
        <v>95</v>
      </c>
      <c r="D371" s="15" t="n">
        <f aca="false">IF($A371="","",MOD($A371-1,12)+1)</f>
        <v>9</v>
      </c>
      <c r="E371" s="16" t="str">
        <f aca="false">IF($A371&gt;PARAMETROS!$C$33,"",P370)</f>
        <v/>
      </c>
      <c r="F371" s="17" t="str">
        <f aca="false">IF($A371&gt;PARAMETROS!$C$33,"",PARAMETROS!$C$38)</f>
        <v/>
      </c>
      <c r="G371" s="16" t="str">
        <f aca="false">IF($A371&gt;PARAMETROS!$C$33,"",E371*F371)</f>
        <v/>
      </c>
      <c r="H371" s="16" t="str">
        <f aca="false">IF($A371&gt;PARAMETROS!$C$33,"",E371*PARAMETROS!$C$39)</f>
        <v/>
      </c>
      <c r="I371" s="16" t="str">
        <f aca="false">IF($A371&gt;PARAMETROS!$C$33,"",G371-H371)</f>
        <v/>
      </c>
      <c r="J371" s="16" t="str">
        <f aca="false">IF($A371&gt;PARAMETROS!$C$33,"",PARAMETROS!$C$9*(1+PARAMETROS!$C$17)^(B371-1))</f>
        <v/>
      </c>
      <c r="K371" s="16" t="str">
        <f aca="false">IF($A371&gt;PARAMETROS!$C$33,"",K370*(1+PARAMETROS!$C$36))</f>
        <v/>
      </c>
      <c r="L371" s="16" t="str">
        <f aca="false">IF($A371&gt;PARAMETROS!$C$33,"",L370*(1+PARAMETROS!$C$37)*(1+M371))</f>
        <v/>
      </c>
      <c r="M371" s="17" t="str">
        <f aca="false">IF($A371&gt;PARAMETROS!$C$33,"",IF(C371&lt;70,PARAMETROS!$C$40,IF(C371&lt;75,PARAMETROS!$C$41,IF(C371&lt;80,PARAMETROS!$C$42,IF(C371&lt;85,PARAMETROS!$C$43,IF(C371&lt;90,PARAMETROS!$C$44,PARAMETROS!$C$45))))))</f>
        <v/>
      </c>
      <c r="N371" s="16" t="str">
        <f aca="false">IF($A371&gt;PARAMETROS!$C$33,"",K371+L371)</f>
        <v/>
      </c>
      <c r="O371" s="16" t="str">
        <f aca="false">IF($A371&gt;PARAMETROS!$C$33,"",I371+J371-N371)</f>
        <v/>
      </c>
      <c r="P371" s="16" t="str">
        <f aca="false">IF($A371&gt;PARAMETROS!$C$33,"",MAX(E371+I371+J371-N371,0))</f>
        <v/>
      </c>
      <c r="Q371" s="18" t="str">
        <f aca="false">IF($A371&gt;PARAMETROS!$C$33,"",IF(P371&lt;=0,"AGOTADO","OK"))</f>
        <v/>
      </c>
    </row>
    <row r="372" customFormat="false" ht="15" hidden="false" customHeight="false" outlineLevel="0" collapsed="false">
      <c r="A372" s="15" t="n">
        <f aca="false">A371+1</f>
        <v>370</v>
      </c>
      <c r="B372" s="15" t="n">
        <f aca="false">IF($A372="","",ROUNDUP($A372/12,0))</f>
        <v>31</v>
      </c>
      <c r="C372" s="15" t="n">
        <f aca="false">IF($A372="","",PARAMETROS!$C$6+INT(($A372-1)/12))</f>
        <v>95</v>
      </c>
      <c r="D372" s="15" t="n">
        <f aca="false">IF($A372="","",MOD($A372-1,12)+1)</f>
        <v>10</v>
      </c>
      <c r="E372" s="16" t="str">
        <f aca="false">IF($A372&gt;PARAMETROS!$C$33,"",P371)</f>
        <v/>
      </c>
      <c r="F372" s="17" t="str">
        <f aca="false">IF($A372&gt;PARAMETROS!$C$33,"",PARAMETROS!$C$38)</f>
        <v/>
      </c>
      <c r="G372" s="16" t="str">
        <f aca="false">IF($A372&gt;PARAMETROS!$C$33,"",E372*F372)</f>
        <v/>
      </c>
      <c r="H372" s="16" t="str">
        <f aca="false">IF($A372&gt;PARAMETROS!$C$33,"",E372*PARAMETROS!$C$39)</f>
        <v/>
      </c>
      <c r="I372" s="16" t="str">
        <f aca="false">IF($A372&gt;PARAMETROS!$C$33,"",G372-H372)</f>
        <v/>
      </c>
      <c r="J372" s="16" t="str">
        <f aca="false">IF($A372&gt;PARAMETROS!$C$33,"",PARAMETROS!$C$9*(1+PARAMETROS!$C$17)^(B372-1))</f>
        <v/>
      </c>
      <c r="K372" s="16" t="str">
        <f aca="false">IF($A372&gt;PARAMETROS!$C$33,"",K371*(1+PARAMETROS!$C$36))</f>
        <v/>
      </c>
      <c r="L372" s="16" t="str">
        <f aca="false">IF($A372&gt;PARAMETROS!$C$33,"",L371*(1+PARAMETROS!$C$37)*(1+M372))</f>
        <v/>
      </c>
      <c r="M372" s="17" t="str">
        <f aca="false">IF($A372&gt;PARAMETROS!$C$33,"",IF(C372&lt;70,PARAMETROS!$C$40,IF(C372&lt;75,PARAMETROS!$C$41,IF(C372&lt;80,PARAMETROS!$C$42,IF(C372&lt;85,PARAMETROS!$C$43,IF(C372&lt;90,PARAMETROS!$C$44,PARAMETROS!$C$45))))))</f>
        <v/>
      </c>
      <c r="N372" s="16" t="str">
        <f aca="false">IF($A372&gt;PARAMETROS!$C$33,"",K372+L372)</f>
        <v/>
      </c>
      <c r="O372" s="16" t="str">
        <f aca="false">IF($A372&gt;PARAMETROS!$C$33,"",I372+J372-N372)</f>
        <v/>
      </c>
      <c r="P372" s="16" t="str">
        <f aca="false">IF($A372&gt;PARAMETROS!$C$33,"",MAX(E372+I372+J372-N372,0))</f>
        <v/>
      </c>
      <c r="Q372" s="18" t="str">
        <f aca="false">IF($A372&gt;PARAMETROS!$C$33,"",IF(P372&lt;=0,"AGOTADO","OK"))</f>
        <v/>
      </c>
    </row>
    <row r="373" customFormat="false" ht="15" hidden="false" customHeight="false" outlineLevel="0" collapsed="false">
      <c r="A373" s="15" t="n">
        <f aca="false">A372+1</f>
        <v>371</v>
      </c>
      <c r="B373" s="15" t="n">
        <f aca="false">IF($A373="","",ROUNDUP($A373/12,0))</f>
        <v>31</v>
      </c>
      <c r="C373" s="15" t="n">
        <f aca="false">IF($A373="","",PARAMETROS!$C$6+INT(($A373-1)/12))</f>
        <v>95</v>
      </c>
      <c r="D373" s="15" t="n">
        <f aca="false">IF($A373="","",MOD($A373-1,12)+1)</f>
        <v>11</v>
      </c>
      <c r="E373" s="16" t="str">
        <f aca="false">IF($A373&gt;PARAMETROS!$C$33,"",P372)</f>
        <v/>
      </c>
      <c r="F373" s="17" t="str">
        <f aca="false">IF($A373&gt;PARAMETROS!$C$33,"",PARAMETROS!$C$38)</f>
        <v/>
      </c>
      <c r="G373" s="16" t="str">
        <f aca="false">IF($A373&gt;PARAMETROS!$C$33,"",E373*F373)</f>
        <v/>
      </c>
      <c r="H373" s="16" t="str">
        <f aca="false">IF($A373&gt;PARAMETROS!$C$33,"",E373*PARAMETROS!$C$39)</f>
        <v/>
      </c>
      <c r="I373" s="16" t="str">
        <f aca="false">IF($A373&gt;PARAMETROS!$C$33,"",G373-H373)</f>
        <v/>
      </c>
      <c r="J373" s="16" t="str">
        <f aca="false">IF($A373&gt;PARAMETROS!$C$33,"",PARAMETROS!$C$9*(1+PARAMETROS!$C$17)^(B373-1))</f>
        <v/>
      </c>
      <c r="K373" s="16" t="str">
        <f aca="false">IF($A373&gt;PARAMETROS!$C$33,"",K372*(1+PARAMETROS!$C$36))</f>
        <v/>
      </c>
      <c r="L373" s="16" t="str">
        <f aca="false">IF($A373&gt;PARAMETROS!$C$33,"",L372*(1+PARAMETROS!$C$37)*(1+M373))</f>
        <v/>
      </c>
      <c r="M373" s="17" t="str">
        <f aca="false">IF($A373&gt;PARAMETROS!$C$33,"",IF(C373&lt;70,PARAMETROS!$C$40,IF(C373&lt;75,PARAMETROS!$C$41,IF(C373&lt;80,PARAMETROS!$C$42,IF(C373&lt;85,PARAMETROS!$C$43,IF(C373&lt;90,PARAMETROS!$C$44,PARAMETROS!$C$45))))))</f>
        <v/>
      </c>
      <c r="N373" s="16" t="str">
        <f aca="false">IF($A373&gt;PARAMETROS!$C$33,"",K373+L373)</f>
        <v/>
      </c>
      <c r="O373" s="16" t="str">
        <f aca="false">IF($A373&gt;PARAMETROS!$C$33,"",I373+J373-N373)</f>
        <v/>
      </c>
      <c r="P373" s="16" t="str">
        <f aca="false">IF($A373&gt;PARAMETROS!$C$33,"",MAX(E373+I373+J373-N373,0))</f>
        <v/>
      </c>
      <c r="Q373" s="18" t="str">
        <f aca="false">IF($A373&gt;PARAMETROS!$C$33,"",IF(P373&lt;=0,"AGOTADO","OK"))</f>
        <v/>
      </c>
    </row>
    <row r="374" customFormat="false" ht="15" hidden="false" customHeight="false" outlineLevel="0" collapsed="false">
      <c r="A374" s="15" t="n">
        <f aca="false">A373+1</f>
        <v>372</v>
      </c>
      <c r="B374" s="15" t="n">
        <f aca="false">IF($A374="","",ROUNDUP($A374/12,0))</f>
        <v>31</v>
      </c>
      <c r="C374" s="15" t="n">
        <f aca="false">IF($A374="","",PARAMETROS!$C$6+INT(($A374-1)/12))</f>
        <v>95</v>
      </c>
      <c r="D374" s="15" t="n">
        <f aca="false">IF($A374="","",MOD($A374-1,12)+1)</f>
        <v>12</v>
      </c>
      <c r="E374" s="16" t="str">
        <f aca="false">IF($A374&gt;PARAMETROS!$C$33,"",P373)</f>
        <v/>
      </c>
      <c r="F374" s="17" t="str">
        <f aca="false">IF($A374&gt;PARAMETROS!$C$33,"",PARAMETROS!$C$38)</f>
        <v/>
      </c>
      <c r="G374" s="16" t="str">
        <f aca="false">IF($A374&gt;PARAMETROS!$C$33,"",E374*F374)</f>
        <v/>
      </c>
      <c r="H374" s="16" t="str">
        <f aca="false">IF($A374&gt;PARAMETROS!$C$33,"",E374*PARAMETROS!$C$39)</f>
        <v/>
      </c>
      <c r="I374" s="16" t="str">
        <f aca="false">IF($A374&gt;PARAMETROS!$C$33,"",G374-H374)</f>
        <v/>
      </c>
      <c r="J374" s="16" t="str">
        <f aca="false">IF($A374&gt;PARAMETROS!$C$33,"",PARAMETROS!$C$9*(1+PARAMETROS!$C$17)^(B374-1))</f>
        <v/>
      </c>
      <c r="K374" s="16" t="str">
        <f aca="false">IF($A374&gt;PARAMETROS!$C$33,"",K373*(1+PARAMETROS!$C$36))</f>
        <v/>
      </c>
      <c r="L374" s="16" t="str">
        <f aca="false">IF($A374&gt;PARAMETROS!$C$33,"",L373*(1+PARAMETROS!$C$37)*(1+M374))</f>
        <v/>
      </c>
      <c r="M374" s="17" t="str">
        <f aca="false">IF($A374&gt;PARAMETROS!$C$33,"",IF(C374&lt;70,PARAMETROS!$C$40,IF(C374&lt;75,PARAMETROS!$C$41,IF(C374&lt;80,PARAMETROS!$C$42,IF(C374&lt;85,PARAMETROS!$C$43,IF(C374&lt;90,PARAMETROS!$C$44,PARAMETROS!$C$45))))))</f>
        <v/>
      </c>
      <c r="N374" s="16" t="str">
        <f aca="false">IF($A374&gt;PARAMETROS!$C$33,"",K374+L374)</f>
        <v/>
      </c>
      <c r="O374" s="16" t="str">
        <f aca="false">IF($A374&gt;PARAMETROS!$C$33,"",I374+J374-N374)</f>
        <v/>
      </c>
      <c r="P374" s="16" t="str">
        <f aca="false">IF($A374&gt;PARAMETROS!$C$33,"",MAX(E374+I374+J374-N374,0))</f>
        <v/>
      </c>
      <c r="Q374" s="18" t="str">
        <f aca="false">IF($A374&gt;PARAMETROS!$C$33,"",IF(P374&lt;=0,"AGOTADO","OK"))</f>
        <v/>
      </c>
    </row>
    <row r="375" customFormat="false" ht="15" hidden="false" customHeight="false" outlineLevel="0" collapsed="false">
      <c r="A375" s="19" t="n">
        <f aca="false">A374+1</f>
        <v>373</v>
      </c>
      <c r="B375" s="19" t="n">
        <f aca="false">IF($A375="","",ROUNDUP($A375/12,0))</f>
        <v>32</v>
      </c>
      <c r="C375" s="19" t="n">
        <f aca="false">IF($A375="","",PARAMETROS!$C$6+INT(($A375-1)/12))</f>
        <v>96</v>
      </c>
      <c r="D375" s="19" t="n">
        <f aca="false">IF($A375="","",MOD($A375-1,12)+1)</f>
        <v>1</v>
      </c>
      <c r="E375" s="20" t="str">
        <f aca="false">IF($A375&gt;PARAMETROS!$C$33,"",P374)</f>
        <v/>
      </c>
      <c r="F375" s="21" t="str">
        <f aca="false">IF($A375&gt;PARAMETROS!$C$33,"",PARAMETROS!$C$38)</f>
        <v/>
      </c>
      <c r="G375" s="20" t="str">
        <f aca="false">IF($A375&gt;PARAMETROS!$C$33,"",E375*F375)</f>
        <v/>
      </c>
      <c r="H375" s="20" t="str">
        <f aca="false">IF($A375&gt;PARAMETROS!$C$33,"",E375*PARAMETROS!$C$39)</f>
        <v/>
      </c>
      <c r="I375" s="20" t="str">
        <f aca="false">IF($A375&gt;PARAMETROS!$C$33,"",G375-H375)</f>
        <v/>
      </c>
      <c r="J375" s="20" t="str">
        <f aca="false">IF($A375&gt;PARAMETROS!$C$33,"",PARAMETROS!$C$9*(1+PARAMETROS!$C$17)^(B375-1))</f>
        <v/>
      </c>
      <c r="K375" s="20" t="str">
        <f aca="false">IF($A375&gt;PARAMETROS!$C$33,"",K374*(1+PARAMETROS!$C$36))</f>
        <v/>
      </c>
      <c r="L375" s="20" t="str">
        <f aca="false">IF($A375&gt;PARAMETROS!$C$33,"",L374*(1+PARAMETROS!$C$37)*(1+M375))</f>
        <v/>
      </c>
      <c r="M375" s="21" t="str">
        <f aca="false">IF($A375&gt;PARAMETROS!$C$33,"",IF(C375&lt;70,PARAMETROS!$C$40,IF(C375&lt;75,PARAMETROS!$C$41,IF(C375&lt;80,PARAMETROS!$C$42,IF(C375&lt;85,PARAMETROS!$C$43,IF(C375&lt;90,PARAMETROS!$C$44,PARAMETROS!$C$45))))))</f>
        <v/>
      </c>
      <c r="N375" s="20" t="str">
        <f aca="false">IF($A375&gt;PARAMETROS!$C$33,"",K375+L375)</f>
        <v/>
      </c>
      <c r="O375" s="20" t="str">
        <f aca="false">IF($A375&gt;PARAMETROS!$C$33,"",I375+J375-N375)</f>
        <v/>
      </c>
      <c r="P375" s="20" t="str">
        <f aca="false">IF($A375&gt;PARAMETROS!$C$33,"",MAX(E375+I375+J375-N375,0))</f>
        <v/>
      </c>
      <c r="Q375" s="22" t="str">
        <f aca="false">IF($A375&gt;PARAMETROS!$C$33,"",IF(P375&lt;=0,"AGOTADO","OK"))</f>
        <v/>
      </c>
    </row>
    <row r="376" customFormat="false" ht="15" hidden="false" customHeight="false" outlineLevel="0" collapsed="false">
      <c r="A376" s="19" t="n">
        <f aca="false">A375+1</f>
        <v>374</v>
      </c>
      <c r="B376" s="19" t="n">
        <f aca="false">IF($A376="","",ROUNDUP($A376/12,0))</f>
        <v>32</v>
      </c>
      <c r="C376" s="19" t="n">
        <f aca="false">IF($A376="","",PARAMETROS!$C$6+INT(($A376-1)/12))</f>
        <v>96</v>
      </c>
      <c r="D376" s="19" t="n">
        <f aca="false">IF($A376="","",MOD($A376-1,12)+1)</f>
        <v>2</v>
      </c>
      <c r="E376" s="20" t="str">
        <f aca="false">IF($A376&gt;PARAMETROS!$C$33,"",P375)</f>
        <v/>
      </c>
      <c r="F376" s="21" t="str">
        <f aca="false">IF($A376&gt;PARAMETROS!$C$33,"",PARAMETROS!$C$38)</f>
        <v/>
      </c>
      <c r="G376" s="20" t="str">
        <f aca="false">IF($A376&gt;PARAMETROS!$C$33,"",E376*F376)</f>
        <v/>
      </c>
      <c r="H376" s="20" t="str">
        <f aca="false">IF($A376&gt;PARAMETROS!$C$33,"",E376*PARAMETROS!$C$39)</f>
        <v/>
      </c>
      <c r="I376" s="20" t="str">
        <f aca="false">IF($A376&gt;PARAMETROS!$C$33,"",G376-H376)</f>
        <v/>
      </c>
      <c r="J376" s="20" t="str">
        <f aca="false">IF($A376&gt;PARAMETROS!$C$33,"",PARAMETROS!$C$9*(1+PARAMETROS!$C$17)^(B376-1))</f>
        <v/>
      </c>
      <c r="K376" s="20" t="str">
        <f aca="false">IF($A376&gt;PARAMETROS!$C$33,"",K375*(1+PARAMETROS!$C$36))</f>
        <v/>
      </c>
      <c r="L376" s="20" t="str">
        <f aca="false">IF($A376&gt;PARAMETROS!$C$33,"",L375*(1+PARAMETROS!$C$37)*(1+M376))</f>
        <v/>
      </c>
      <c r="M376" s="21" t="str">
        <f aca="false">IF($A376&gt;PARAMETROS!$C$33,"",IF(C376&lt;70,PARAMETROS!$C$40,IF(C376&lt;75,PARAMETROS!$C$41,IF(C376&lt;80,PARAMETROS!$C$42,IF(C376&lt;85,PARAMETROS!$C$43,IF(C376&lt;90,PARAMETROS!$C$44,PARAMETROS!$C$45))))))</f>
        <v/>
      </c>
      <c r="N376" s="20" t="str">
        <f aca="false">IF($A376&gt;PARAMETROS!$C$33,"",K376+L376)</f>
        <v/>
      </c>
      <c r="O376" s="20" t="str">
        <f aca="false">IF($A376&gt;PARAMETROS!$C$33,"",I376+J376-N376)</f>
        <v/>
      </c>
      <c r="P376" s="20" t="str">
        <f aca="false">IF($A376&gt;PARAMETROS!$C$33,"",MAX(E376+I376+J376-N376,0))</f>
        <v/>
      </c>
      <c r="Q376" s="22" t="str">
        <f aca="false">IF($A376&gt;PARAMETROS!$C$33,"",IF(P376&lt;=0,"AGOTADO","OK"))</f>
        <v/>
      </c>
    </row>
    <row r="377" customFormat="false" ht="15" hidden="false" customHeight="false" outlineLevel="0" collapsed="false">
      <c r="A377" s="19" t="n">
        <f aca="false">A376+1</f>
        <v>375</v>
      </c>
      <c r="B377" s="19" t="n">
        <f aca="false">IF($A377="","",ROUNDUP($A377/12,0))</f>
        <v>32</v>
      </c>
      <c r="C377" s="19" t="n">
        <f aca="false">IF($A377="","",PARAMETROS!$C$6+INT(($A377-1)/12))</f>
        <v>96</v>
      </c>
      <c r="D377" s="19" t="n">
        <f aca="false">IF($A377="","",MOD($A377-1,12)+1)</f>
        <v>3</v>
      </c>
      <c r="E377" s="20" t="str">
        <f aca="false">IF($A377&gt;PARAMETROS!$C$33,"",P376)</f>
        <v/>
      </c>
      <c r="F377" s="21" t="str">
        <f aca="false">IF($A377&gt;PARAMETROS!$C$33,"",PARAMETROS!$C$38)</f>
        <v/>
      </c>
      <c r="G377" s="20" t="str">
        <f aca="false">IF($A377&gt;PARAMETROS!$C$33,"",E377*F377)</f>
        <v/>
      </c>
      <c r="H377" s="20" t="str">
        <f aca="false">IF($A377&gt;PARAMETROS!$C$33,"",E377*PARAMETROS!$C$39)</f>
        <v/>
      </c>
      <c r="I377" s="20" t="str">
        <f aca="false">IF($A377&gt;PARAMETROS!$C$33,"",G377-H377)</f>
        <v/>
      </c>
      <c r="J377" s="20" t="str">
        <f aca="false">IF($A377&gt;PARAMETROS!$C$33,"",PARAMETROS!$C$9*(1+PARAMETROS!$C$17)^(B377-1))</f>
        <v/>
      </c>
      <c r="K377" s="20" t="str">
        <f aca="false">IF($A377&gt;PARAMETROS!$C$33,"",K376*(1+PARAMETROS!$C$36))</f>
        <v/>
      </c>
      <c r="L377" s="20" t="str">
        <f aca="false">IF($A377&gt;PARAMETROS!$C$33,"",L376*(1+PARAMETROS!$C$37)*(1+M377))</f>
        <v/>
      </c>
      <c r="M377" s="21" t="str">
        <f aca="false">IF($A377&gt;PARAMETROS!$C$33,"",IF(C377&lt;70,PARAMETROS!$C$40,IF(C377&lt;75,PARAMETROS!$C$41,IF(C377&lt;80,PARAMETROS!$C$42,IF(C377&lt;85,PARAMETROS!$C$43,IF(C377&lt;90,PARAMETROS!$C$44,PARAMETROS!$C$45))))))</f>
        <v/>
      </c>
      <c r="N377" s="20" t="str">
        <f aca="false">IF($A377&gt;PARAMETROS!$C$33,"",K377+L377)</f>
        <v/>
      </c>
      <c r="O377" s="20" t="str">
        <f aca="false">IF($A377&gt;PARAMETROS!$C$33,"",I377+J377-N377)</f>
        <v/>
      </c>
      <c r="P377" s="20" t="str">
        <f aca="false">IF($A377&gt;PARAMETROS!$C$33,"",MAX(E377+I377+J377-N377,0))</f>
        <v/>
      </c>
      <c r="Q377" s="22" t="str">
        <f aca="false">IF($A377&gt;PARAMETROS!$C$33,"",IF(P377&lt;=0,"AGOTADO","OK"))</f>
        <v/>
      </c>
    </row>
    <row r="378" customFormat="false" ht="15" hidden="false" customHeight="false" outlineLevel="0" collapsed="false">
      <c r="A378" s="19" t="n">
        <f aca="false">A377+1</f>
        <v>376</v>
      </c>
      <c r="B378" s="19" t="n">
        <f aca="false">IF($A378="","",ROUNDUP($A378/12,0))</f>
        <v>32</v>
      </c>
      <c r="C378" s="19" t="n">
        <f aca="false">IF($A378="","",PARAMETROS!$C$6+INT(($A378-1)/12))</f>
        <v>96</v>
      </c>
      <c r="D378" s="19" t="n">
        <f aca="false">IF($A378="","",MOD($A378-1,12)+1)</f>
        <v>4</v>
      </c>
      <c r="E378" s="20" t="str">
        <f aca="false">IF($A378&gt;PARAMETROS!$C$33,"",P377)</f>
        <v/>
      </c>
      <c r="F378" s="21" t="str">
        <f aca="false">IF($A378&gt;PARAMETROS!$C$33,"",PARAMETROS!$C$38)</f>
        <v/>
      </c>
      <c r="G378" s="20" t="str">
        <f aca="false">IF($A378&gt;PARAMETROS!$C$33,"",E378*F378)</f>
        <v/>
      </c>
      <c r="H378" s="20" t="str">
        <f aca="false">IF($A378&gt;PARAMETROS!$C$33,"",E378*PARAMETROS!$C$39)</f>
        <v/>
      </c>
      <c r="I378" s="20" t="str">
        <f aca="false">IF($A378&gt;PARAMETROS!$C$33,"",G378-H378)</f>
        <v/>
      </c>
      <c r="J378" s="20" t="str">
        <f aca="false">IF($A378&gt;PARAMETROS!$C$33,"",PARAMETROS!$C$9*(1+PARAMETROS!$C$17)^(B378-1))</f>
        <v/>
      </c>
      <c r="K378" s="20" t="str">
        <f aca="false">IF($A378&gt;PARAMETROS!$C$33,"",K377*(1+PARAMETROS!$C$36))</f>
        <v/>
      </c>
      <c r="L378" s="20" t="str">
        <f aca="false">IF($A378&gt;PARAMETROS!$C$33,"",L377*(1+PARAMETROS!$C$37)*(1+M378))</f>
        <v/>
      </c>
      <c r="M378" s="21" t="str">
        <f aca="false">IF($A378&gt;PARAMETROS!$C$33,"",IF(C378&lt;70,PARAMETROS!$C$40,IF(C378&lt;75,PARAMETROS!$C$41,IF(C378&lt;80,PARAMETROS!$C$42,IF(C378&lt;85,PARAMETROS!$C$43,IF(C378&lt;90,PARAMETROS!$C$44,PARAMETROS!$C$45))))))</f>
        <v/>
      </c>
      <c r="N378" s="20" t="str">
        <f aca="false">IF($A378&gt;PARAMETROS!$C$33,"",K378+L378)</f>
        <v/>
      </c>
      <c r="O378" s="20" t="str">
        <f aca="false">IF($A378&gt;PARAMETROS!$C$33,"",I378+J378-N378)</f>
        <v/>
      </c>
      <c r="P378" s="20" t="str">
        <f aca="false">IF($A378&gt;PARAMETROS!$C$33,"",MAX(E378+I378+J378-N378,0))</f>
        <v/>
      </c>
      <c r="Q378" s="22" t="str">
        <f aca="false">IF($A378&gt;PARAMETROS!$C$33,"",IF(P378&lt;=0,"AGOTADO","OK"))</f>
        <v/>
      </c>
    </row>
    <row r="379" customFormat="false" ht="15" hidden="false" customHeight="false" outlineLevel="0" collapsed="false">
      <c r="A379" s="19" t="n">
        <f aca="false">A378+1</f>
        <v>377</v>
      </c>
      <c r="B379" s="19" t="n">
        <f aca="false">IF($A379="","",ROUNDUP($A379/12,0))</f>
        <v>32</v>
      </c>
      <c r="C379" s="19" t="n">
        <f aca="false">IF($A379="","",PARAMETROS!$C$6+INT(($A379-1)/12))</f>
        <v>96</v>
      </c>
      <c r="D379" s="19" t="n">
        <f aca="false">IF($A379="","",MOD($A379-1,12)+1)</f>
        <v>5</v>
      </c>
      <c r="E379" s="20" t="str">
        <f aca="false">IF($A379&gt;PARAMETROS!$C$33,"",P378)</f>
        <v/>
      </c>
      <c r="F379" s="21" t="str">
        <f aca="false">IF($A379&gt;PARAMETROS!$C$33,"",PARAMETROS!$C$38)</f>
        <v/>
      </c>
      <c r="G379" s="20" t="str">
        <f aca="false">IF($A379&gt;PARAMETROS!$C$33,"",E379*F379)</f>
        <v/>
      </c>
      <c r="H379" s="20" t="str">
        <f aca="false">IF($A379&gt;PARAMETROS!$C$33,"",E379*PARAMETROS!$C$39)</f>
        <v/>
      </c>
      <c r="I379" s="20" t="str">
        <f aca="false">IF($A379&gt;PARAMETROS!$C$33,"",G379-H379)</f>
        <v/>
      </c>
      <c r="J379" s="20" t="str">
        <f aca="false">IF($A379&gt;PARAMETROS!$C$33,"",PARAMETROS!$C$9*(1+PARAMETROS!$C$17)^(B379-1))</f>
        <v/>
      </c>
      <c r="K379" s="20" t="str">
        <f aca="false">IF($A379&gt;PARAMETROS!$C$33,"",K378*(1+PARAMETROS!$C$36))</f>
        <v/>
      </c>
      <c r="L379" s="20" t="str">
        <f aca="false">IF($A379&gt;PARAMETROS!$C$33,"",L378*(1+PARAMETROS!$C$37)*(1+M379))</f>
        <v/>
      </c>
      <c r="M379" s="21" t="str">
        <f aca="false">IF($A379&gt;PARAMETROS!$C$33,"",IF(C379&lt;70,PARAMETROS!$C$40,IF(C379&lt;75,PARAMETROS!$C$41,IF(C379&lt;80,PARAMETROS!$C$42,IF(C379&lt;85,PARAMETROS!$C$43,IF(C379&lt;90,PARAMETROS!$C$44,PARAMETROS!$C$45))))))</f>
        <v/>
      </c>
      <c r="N379" s="20" t="str">
        <f aca="false">IF($A379&gt;PARAMETROS!$C$33,"",K379+L379)</f>
        <v/>
      </c>
      <c r="O379" s="20" t="str">
        <f aca="false">IF($A379&gt;PARAMETROS!$C$33,"",I379+J379-N379)</f>
        <v/>
      </c>
      <c r="P379" s="20" t="str">
        <f aca="false">IF($A379&gt;PARAMETROS!$C$33,"",MAX(E379+I379+J379-N379,0))</f>
        <v/>
      </c>
      <c r="Q379" s="22" t="str">
        <f aca="false">IF($A379&gt;PARAMETROS!$C$33,"",IF(P379&lt;=0,"AGOTADO","OK"))</f>
        <v/>
      </c>
    </row>
    <row r="380" customFormat="false" ht="15" hidden="false" customHeight="false" outlineLevel="0" collapsed="false">
      <c r="A380" s="19" t="n">
        <f aca="false">A379+1</f>
        <v>378</v>
      </c>
      <c r="B380" s="19" t="n">
        <f aca="false">IF($A380="","",ROUNDUP($A380/12,0))</f>
        <v>32</v>
      </c>
      <c r="C380" s="19" t="n">
        <f aca="false">IF($A380="","",PARAMETROS!$C$6+INT(($A380-1)/12))</f>
        <v>96</v>
      </c>
      <c r="D380" s="19" t="n">
        <f aca="false">IF($A380="","",MOD($A380-1,12)+1)</f>
        <v>6</v>
      </c>
      <c r="E380" s="20" t="str">
        <f aca="false">IF($A380&gt;PARAMETROS!$C$33,"",P379)</f>
        <v/>
      </c>
      <c r="F380" s="21" t="str">
        <f aca="false">IF($A380&gt;PARAMETROS!$C$33,"",PARAMETROS!$C$38)</f>
        <v/>
      </c>
      <c r="G380" s="20" t="str">
        <f aca="false">IF($A380&gt;PARAMETROS!$C$33,"",E380*F380)</f>
        <v/>
      </c>
      <c r="H380" s="20" t="str">
        <f aca="false">IF($A380&gt;PARAMETROS!$C$33,"",E380*PARAMETROS!$C$39)</f>
        <v/>
      </c>
      <c r="I380" s="20" t="str">
        <f aca="false">IF($A380&gt;PARAMETROS!$C$33,"",G380-H380)</f>
        <v/>
      </c>
      <c r="J380" s="20" t="str">
        <f aca="false">IF($A380&gt;PARAMETROS!$C$33,"",PARAMETROS!$C$9*(1+PARAMETROS!$C$17)^(B380-1))</f>
        <v/>
      </c>
      <c r="K380" s="20" t="str">
        <f aca="false">IF($A380&gt;PARAMETROS!$C$33,"",K379*(1+PARAMETROS!$C$36))</f>
        <v/>
      </c>
      <c r="L380" s="20" t="str">
        <f aca="false">IF($A380&gt;PARAMETROS!$C$33,"",L379*(1+PARAMETROS!$C$37)*(1+M380))</f>
        <v/>
      </c>
      <c r="M380" s="21" t="str">
        <f aca="false">IF($A380&gt;PARAMETROS!$C$33,"",IF(C380&lt;70,PARAMETROS!$C$40,IF(C380&lt;75,PARAMETROS!$C$41,IF(C380&lt;80,PARAMETROS!$C$42,IF(C380&lt;85,PARAMETROS!$C$43,IF(C380&lt;90,PARAMETROS!$C$44,PARAMETROS!$C$45))))))</f>
        <v/>
      </c>
      <c r="N380" s="20" t="str">
        <f aca="false">IF($A380&gt;PARAMETROS!$C$33,"",K380+L380)</f>
        <v/>
      </c>
      <c r="O380" s="20" t="str">
        <f aca="false">IF($A380&gt;PARAMETROS!$C$33,"",I380+J380-N380)</f>
        <v/>
      </c>
      <c r="P380" s="20" t="str">
        <f aca="false">IF($A380&gt;PARAMETROS!$C$33,"",MAX(E380+I380+J380-N380,0))</f>
        <v/>
      </c>
      <c r="Q380" s="22" t="str">
        <f aca="false">IF($A380&gt;PARAMETROS!$C$33,"",IF(P380&lt;=0,"AGOTADO","OK"))</f>
        <v/>
      </c>
    </row>
    <row r="381" customFormat="false" ht="15" hidden="false" customHeight="false" outlineLevel="0" collapsed="false">
      <c r="A381" s="19" t="n">
        <f aca="false">A380+1</f>
        <v>379</v>
      </c>
      <c r="B381" s="19" t="n">
        <f aca="false">IF($A381="","",ROUNDUP($A381/12,0))</f>
        <v>32</v>
      </c>
      <c r="C381" s="19" t="n">
        <f aca="false">IF($A381="","",PARAMETROS!$C$6+INT(($A381-1)/12))</f>
        <v>96</v>
      </c>
      <c r="D381" s="19" t="n">
        <f aca="false">IF($A381="","",MOD($A381-1,12)+1)</f>
        <v>7</v>
      </c>
      <c r="E381" s="20" t="str">
        <f aca="false">IF($A381&gt;PARAMETROS!$C$33,"",P380)</f>
        <v/>
      </c>
      <c r="F381" s="21" t="str">
        <f aca="false">IF($A381&gt;PARAMETROS!$C$33,"",PARAMETROS!$C$38)</f>
        <v/>
      </c>
      <c r="G381" s="20" t="str">
        <f aca="false">IF($A381&gt;PARAMETROS!$C$33,"",E381*F381)</f>
        <v/>
      </c>
      <c r="H381" s="20" t="str">
        <f aca="false">IF($A381&gt;PARAMETROS!$C$33,"",E381*PARAMETROS!$C$39)</f>
        <v/>
      </c>
      <c r="I381" s="20" t="str">
        <f aca="false">IF($A381&gt;PARAMETROS!$C$33,"",G381-H381)</f>
        <v/>
      </c>
      <c r="J381" s="20" t="str">
        <f aca="false">IF($A381&gt;PARAMETROS!$C$33,"",PARAMETROS!$C$9*(1+PARAMETROS!$C$17)^(B381-1))</f>
        <v/>
      </c>
      <c r="K381" s="20" t="str">
        <f aca="false">IF($A381&gt;PARAMETROS!$C$33,"",K380*(1+PARAMETROS!$C$36))</f>
        <v/>
      </c>
      <c r="L381" s="20" t="str">
        <f aca="false">IF($A381&gt;PARAMETROS!$C$33,"",L380*(1+PARAMETROS!$C$37)*(1+M381))</f>
        <v/>
      </c>
      <c r="M381" s="21" t="str">
        <f aca="false">IF($A381&gt;PARAMETROS!$C$33,"",IF(C381&lt;70,PARAMETROS!$C$40,IF(C381&lt;75,PARAMETROS!$C$41,IF(C381&lt;80,PARAMETROS!$C$42,IF(C381&lt;85,PARAMETROS!$C$43,IF(C381&lt;90,PARAMETROS!$C$44,PARAMETROS!$C$45))))))</f>
        <v/>
      </c>
      <c r="N381" s="20" t="str">
        <f aca="false">IF($A381&gt;PARAMETROS!$C$33,"",K381+L381)</f>
        <v/>
      </c>
      <c r="O381" s="20" t="str">
        <f aca="false">IF($A381&gt;PARAMETROS!$C$33,"",I381+J381-N381)</f>
        <v/>
      </c>
      <c r="P381" s="20" t="str">
        <f aca="false">IF($A381&gt;PARAMETROS!$C$33,"",MAX(E381+I381+J381-N381,0))</f>
        <v/>
      </c>
      <c r="Q381" s="22" t="str">
        <f aca="false">IF($A381&gt;PARAMETROS!$C$33,"",IF(P381&lt;=0,"AGOTADO","OK"))</f>
        <v/>
      </c>
    </row>
    <row r="382" customFormat="false" ht="15" hidden="false" customHeight="false" outlineLevel="0" collapsed="false">
      <c r="A382" s="19" t="n">
        <f aca="false">A381+1</f>
        <v>380</v>
      </c>
      <c r="B382" s="19" t="n">
        <f aca="false">IF($A382="","",ROUNDUP($A382/12,0))</f>
        <v>32</v>
      </c>
      <c r="C382" s="19" t="n">
        <f aca="false">IF($A382="","",PARAMETROS!$C$6+INT(($A382-1)/12))</f>
        <v>96</v>
      </c>
      <c r="D382" s="19" t="n">
        <f aca="false">IF($A382="","",MOD($A382-1,12)+1)</f>
        <v>8</v>
      </c>
      <c r="E382" s="20" t="str">
        <f aca="false">IF($A382&gt;PARAMETROS!$C$33,"",P381)</f>
        <v/>
      </c>
      <c r="F382" s="21" t="str">
        <f aca="false">IF($A382&gt;PARAMETROS!$C$33,"",PARAMETROS!$C$38)</f>
        <v/>
      </c>
      <c r="G382" s="20" t="str">
        <f aca="false">IF($A382&gt;PARAMETROS!$C$33,"",E382*F382)</f>
        <v/>
      </c>
      <c r="H382" s="20" t="str">
        <f aca="false">IF($A382&gt;PARAMETROS!$C$33,"",E382*PARAMETROS!$C$39)</f>
        <v/>
      </c>
      <c r="I382" s="20" t="str">
        <f aca="false">IF($A382&gt;PARAMETROS!$C$33,"",G382-H382)</f>
        <v/>
      </c>
      <c r="J382" s="20" t="str">
        <f aca="false">IF($A382&gt;PARAMETROS!$C$33,"",PARAMETROS!$C$9*(1+PARAMETROS!$C$17)^(B382-1))</f>
        <v/>
      </c>
      <c r="K382" s="20" t="str">
        <f aca="false">IF($A382&gt;PARAMETROS!$C$33,"",K381*(1+PARAMETROS!$C$36))</f>
        <v/>
      </c>
      <c r="L382" s="20" t="str">
        <f aca="false">IF($A382&gt;PARAMETROS!$C$33,"",L381*(1+PARAMETROS!$C$37)*(1+M382))</f>
        <v/>
      </c>
      <c r="M382" s="21" t="str">
        <f aca="false">IF($A382&gt;PARAMETROS!$C$33,"",IF(C382&lt;70,PARAMETROS!$C$40,IF(C382&lt;75,PARAMETROS!$C$41,IF(C382&lt;80,PARAMETROS!$C$42,IF(C382&lt;85,PARAMETROS!$C$43,IF(C382&lt;90,PARAMETROS!$C$44,PARAMETROS!$C$45))))))</f>
        <v/>
      </c>
      <c r="N382" s="20" t="str">
        <f aca="false">IF($A382&gt;PARAMETROS!$C$33,"",K382+L382)</f>
        <v/>
      </c>
      <c r="O382" s="20" t="str">
        <f aca="false">IF($A382&gt;PARAMETROS!$C$33,"",I382+J382-N382)</f>
        <v/>
      </c>
      <c r="P382" s="20" t="str">
        <f aca="false">IF($A382&gt;PARAMETROS!$C$33,"",MAX(E382+I382+J382-N382,0))</f>
        <v/>
      </c>
      <c r="Q382" s="22" t="str">
        <f aca="false">IF($A382&gt;PARAMETROS!$C$33,"",IF(P382&lt;=0,"AGOTADO","OK"))</f>
        <v/>
      </c>
    </row>
    <row r="383" customFormat="false" ht="15" hidden="false" customHeight="false" outlineLevel="0" collapsed="false">
      <c r="A383" s="19" t="n">
        <f aca="false">A382+1</f>
        <v>381</v>
      </c>
      <c r="B383" s="19" t="n">
        <f aca="false">IF($A383="","",ROUNDUP($A383/12,0))</f>
        <v>32</v>
      </c>
      <c r="C383" s="19" t="n">
        <f aca="false">IF($A383="","",PARAMETROS!$C$6+INT(($A383-1)/12))</f>
        <v>96</v>
      </c>
      <c r="D383" s="19" t="n">
        <f aca="false">IF($A383="","",MOD($A383-1,12)+1)</f>
        <v>9</v>
      </c>
      <c r="E383" s="20" t="str">
        <f aca="false">IF($A383&gt;PARAMETROS!$C$33,"",P382)</f>
        <v/>
      </c>
      <c r="F383" s="21" t="str">
        <f aca="false">IF($A383&gt;PARAMETROS!$C$33,"",PARAMETROS!$C$38)</f>
        <v/>
      </c>
      <c r="G383" s="20" t="str">
        <f aca="false">IF($A383&gt;PARAMETROS!$C$33,"",E383*F383)</f>
        <v/>
      </c>
      <c r="H383" s="20" t="str">
        <f aca="false">IF($A383&gt;PARAMETROS!$C$33,"",E383*PARAMETROS!$C$39)</f>
        <v/>
      </c>
      <c r="I383" s="20" t="str">
        <f aca="false">IF($A383&gt;PARAMETROS!$C$33,"",G383-H383)</f>
        <v/>
      </c>
      <c r="J383" s="20" t="str">
        <f aca="false">IF($A383&gt;PARAMETROS!$C$33,"",PARAMETROS!$C$9*(1+PARAMETROS!$C$17)^(B383-1))</f>
        <v/>
      </c>
      <c r="K383" s="20" t="str">
        <f aca="false">IF($A383&gt;PARAMETROS!$C$33,"",K382*(1+PARAMETROS!$C$36))</f>
        <v/>
      </c>
      <c r="L383" s="20" t="str">
        <f aca="false">IF($A383&gt;PARAMETROS!$C$33,"",L382*(1+PARAMETROS!$C$37)*(1+M383))</f>
        <v/>
      </c>
      <c r="M383" s="21" t="str">
        <f aca="false">IF($A383&gt;PARAMETROS!$C$33,"",IF(C383&lt;70,PARAMETROS!$C$40,IF(C383&lt;75,PARAMETROS!$C$41,IF(C383&lt;80,PARAMETROS!$C$42,IF(C383&lt;85,PARAMETROS!$C$43,IF(C383&lt;90,PARAMETROS!$C$44,PARAMETROS!$C$45))))))</f>
        <v/>
      </c>
      <c r="N383" s="20" t="str">
        <f aca="false">IF($A383&gt;PARAMETROS!$C$33,"",K383+L383)</f>
        <v/>
      </c>
      <c r="O383" s="20" t="str">
        <f aca="false">IF($A383&gt;PARAMETROS!$C$33,"",I383+J383-N383)</f>
        <v/>
      </c>
      <c r="P383" s="20" t="str">
        <f aca="false">IF($A383&gt;PARAMETROS!$C$33,"",MAX(E383+I383+J383-N383,0))</f>
        <v/>
      </c>
      <c r="Q383" s="22" t="str">
        <f aca="false">IF($A383&gt;PARAMETROS!$C$33,"",IF(P383&lt;=0,"AGOTADO","OK"))</f>
        <v/>
      </c>
    </row>
    <row r="384" customFormat="false" ht="15" hidden="false" customHeight="false" outlineLevel="0" collapsed="false">
      <c r="A384" s="19" t="n">
        <f aca="false">A383+1</f>
        <v>382</v>
      </c>
      <c r="B384" s="19" t="n">
        <f aca="false">IF($A384="","",ROUNDUP($A384/12,0))</f>
        <v>32</v>
      </c>
      <c r="C384" s="19" t="n">
        <f aca="false">IF($A384="","",PARAMETROS!$C$6+INT(($A384-1)/12))</f>
        <v>96</v>
      </c>
      <c r="D384" s="19" t="n">
        <f aca="false">IF($A384="","",MOD($A384-1,12)+1)</f>
        <v>10</v>
      </c>
      <c r="E384" s="20" t="str">
        <f aca="false">IF($A384&gt;PARAMETROS!$C$33,"",P383)</f>
        <v/>
      </c>
      <c r="F384" s="21" t="str">
        <f aca="false">IF($A384&gt;PARAMETROS!$C$33,"",PARAMETROS!$C$38)</f>
        <v/>
      </c>
      <c r="G384" s="20" t="str">
        <f aca="false">IF($A384&gt;PARAMETROS!$C$33,"",E384*F384)</f>
        <v/>
      </c>
      <c r="H384" s="20" t="str">
        <f aca="false">IF($A384&gt;PARAMETROS!$C$33,"",E384*PARAMETROS!$C$39)</f>
        <v/>
      </c>
      <c r="I384" s="20" t="str">
        <f aca="false">IF($A384&gt;PARAMETROS!$C$33,"",G384-H384)</f>
        <v/>
      </c>
      <c r="J384" s="20" t="str">
        <f aca="false">IF($A384&gt;PARAMETROS!$C$33,"",PARAMETROS!$C$9*(1+PARAMETROS!$C$17)^(B384-1))</f>
        <v/>
      </c>
      <c r="K384" s="20" t="str">
        <f aca="false">IF($A384&gt;PARAMETROS!$C$33,"",K383*(1+PARAMETROS!$C$36))</f>
        <v/>
      </c>
      <c r="L384" s="20" t="str">
        <f aca="false">IF($A384&gt;PARAMETROS!$C$33,"",L383*(1+PARAMETROS!$C$37)*(1+M384))</f>
        <v/>
      </c>
      <c r="M384" s="21" t="str">
        <f aca="false">IF($A384&gt;PARAMETROS!$C$33,"",IF(C384&lt;70,PARAMETROS!$C$40,IF(C384&lt;75,PARAMETROS!$C$41,IF(C384&lt;80,PARAMETROS!$C$42,IF(C384&lt;85,PARAMETROS!$C$43,IF(C384&lt;90,PARAMETROS!$C$44,PARAMETROS!$C$45))))))</f>
        <v/>
      </c>
      <c r="N384" s="20" t="str">
        <f aca="false">IF($A384&gt;PARAMETROS!$C$33,"",K384+L384)</f>
        <v/>
      </c>
      <c r="O384" s="20" t="str">
        <f aca="false">IF($A384&gt;PARAMETROS!$C$33,"",I384+J384-N384)</f>
        <v/>
      </c>
      <c r="P384" s="20" t="str">
        <f aca="false">IF($A384&gt;PARAMETROS!$C$33,"",MAX(E384+I384+J384-N384,0))</f>
        <v/>
      </c>
      <c r="Q384" s="22" t="str">
        <f aca="false">IF($A384&gt;PARAMETROS!$C$33,"",IF(P384&lt;=0,"AGOTADO","OK"))</f>
        <v/>
      </c>
    </row>
    <row r="385" customFormat="false" ht="15" hidden="false" customHeight="false" outlineLevel="0" collapsed="false">
      <c r="A385" s="19" t="n">
        <f aca="false">A384+1</f>
        <v>383</v>
      </c>
      <c r="B385" s="19" t="n">
        <f aca="false">IF($A385="","",ROUNDUP($A385/12,0))</f>
        <v>32</v>
      </c>
      <c r="C385" s="19" t="n">
        <f aca="false">IF($A385="","",PARAMETROS!$C$6+INT(($A385-1)/12))</f>
        <v>96</v>
      </c>
      <c r="D385" s="19" t="n">
        <f aca="false">IF($A385="","",MOD($A385-1,12)+1)</f>
        <v>11</v>
      </c>
      <c r="E385" s="20" t="str">
        <f aca="false">IF($A385&gt;PARAMETROS!$C$33,"",P384)</f>
        <v/>
      </c>
      <c r="F385" s="21" t="str">
        <f aca="false">IF($A385&gt;PARAMETROS!$C$33,"",PARAMETROS!$C$38)</f>
        <v/>
      </c>
      <c r="G385" s="20" t="str">
        <f aca="false">IF($A385&gt;PARAMETROS!$C$33,"",E385*F385)</f>
        <v/>
      </c>
      <c r="H385" s="20" t="str">
        <f aca="false">IF($A385&gt;PARAMETROS!$C$33,"",E385*PARAMETROS!$C$39)</f>
        <v/>
      </c>
      <c r="I385" s="20" t="str">
        <f aca="false">IF($A385&gt;PARAMETROS!$C$33,"",G385-H385)</f>
        <v/>
      </c>
      <c r="J385" s="20" t="str">
        <f aca="false">IF($A385&gt;PARAMETROS!$C$33,"",PARAMETROS!$C$9*(1+PARAMETROS!$C$17)^(B385-1))</f>
        <v/>
      </c>
      <c r="K385" s="20" t="str">
        <f aca="false">IF($A385&gt;PARAMETROS!$C$33,"",K384*(1+PARAMETROS!$C$36))</f>
        <v/>
      </c>
      <c r="L385" s="20" t="str">
        <f aca="false">IF($A385&gt;PARAMETROS!$C$33,"",L384*(1+PARAMETROS!$C$37)*(1+M385))</f>
        <v/>
      </c>
      <c r="M385" s="21" t="str">
        <f aca="false">IF($A385&gt;PARAMETROS!$C$33,"",IF(C385&lt;70,PARAMETROS!$C$40,IF(C385&lt;75,PARAMETROS!$C$41,IF(C385&lt;80,PARAMETROS!$C$42,IF(C385&lt;85,PARAMETROS!$C$43,IF(C385&lt;90,PARAMETROS!$C$44,PARAMETROS!$C$45))))))</f>
        <v/>
      </c>
      <c r="N385" s="20" t="str">
        <f aca="false">IF($A385&gt;PARAMETROS!$C$33,"",K385+L385)</f>
        <v/>
      </c>
      <c r="O385" s="20" t="str">
        <f aca="false">IF($A385&gt;PARAMETROS!$C$33,"",I385+J385-N385)</f>
        <v/>
      </c>
      <c r="P385" s="20" t="str">
        <f aca="false">IF($A385&gt;PARAMETROS!$C$33,"",MAX(E385+I385+J385-N385,0))</f>
        <v/>
      </c>
      <c r="Q385" s="22" t="str">
        <f aca="false">IF($A385&gt;PARAMETROS!$C$33,"",IF(P385&lt;=0,"AGOTADO","OK"))</f>
        <v/>
      </c>
    </row>
    <row r="386" customFormat="false" ht="15" hidden="false" customHeight="false" outlineLevel="0" collapsed="false">
      <c r="A386" s="19" t="n">
        <f aca="false">A385+1</f>
        <v>384</v>
      </c>
      <c r="B386" s="19" t="n">
        <f aca="false">IF($A386="","",ROUNDUP($A386/12,0))</f>
        <v>32</v>
      </c>
      <c r="C386" s="19" t="n">
        <f aca="false">IF($A386="","",PARAMETROS!$C$6+INT(($A386-1)/12))</f>
        <v>96</v>
      </c>
      <c r="D386" s="19" t="n">
        <f aca="false">IF($A386="","",MOD($A386-1,12)+1)</f>
        <v>12</v>
      </c>
      <c r="E386" s="20" t="str">
        <f aca="false">IF($A386&gt;PARAMETROS!$C$33,"",P385)</f>
        <v/>
      </c>
      <c r="F386" s="21" t="str">
        <f aca="false">IF($A386&gt;PARAMETROS!$C$33,"",PARAMETROS!$C$38)</f>
        <v/>
      </c>
      <c r="G386" s="20" t="str">
        <f aca="false">IF($A386&gt;PARAMETROS!$C$33,"",E386*F386)</f>
        <v/>
      </c>
      <c r="H386" s="20" t="str">
        <f aca="false">IF($A386&gt;PARAMETROS!$C$33,"",E386*PARAMETROS!$C$39)</f>
        <v/>
      </c>
      <c r="I386" s="20" t="str">
        <f aca="false">IF($A386&gt;PARAMETROS!$C$33,"",G386-H386)</f>
        <v/>
      </c>
      <c r="J386" s="20" t="str">
        <f aca="false">IF($A386&gt;PARAMETROS!$C$33,"",PARAMETROS!$C$9*(1+PARAMETROS!$C$17)^(B386-1))</f>
        <v/>
      </c>
      <c r="K386" s="20" t="str">
        <f aca="false">IF($A386&gt;PARAMETROS!$C$33,"",K385*(1+PARAMETROS!$C$36))</f>
        <v/>
      </c>
      <c r="L386" s="20" t="str">
        <f aca="false">IF($A386&gt;PARAMETROS!$C$33,"",L385*(1+PARAMETROS!$C$37)*(1+M386))</f>
        <v/>
      </c>
      <c r="M386" s="21" t="str">
        <f aca="false">IF($A386&gt;PARAMETROS!$C$33,"",IF(C386&lt;70,PARAMETROS!$C$40,IF(C386&lt;75,PARAMETROS!$C$41,IF(C386&lt;80,PARAMETROS!$C$42,IF(C386&lt;85,PARAMETROS!$C$43,IF(C386&lt;90,PARAMETROS!$C$44,PARAMETROS!$C$45))))))</f>
        <v/>
      </c>
      <c r="N386" s="20" t="str">
        <f aca="false">IF($A386&gt;PARAMETROS!$C$33,"",K386+L386)</f>
        <v/>
      </c>
      <c r="O386" s="20" t="str">
        <f aca="false">IF($A386&gt;PARAMETROS!$C$33,"",I386+J386-N386)</f>
        <v/>
      </c>
      <c r="P386" s="20" t="str">
        <f aca="false">IF($A386&gt;PARAMETROS!$C$33,"",MAX(E386+I386+J386-N386,0))</f>
        <v/>
      </c>
      <c r="Q386" s="22" t="str">
        <f aca="false">IF($A386&gt;PARAMETROS!$C$33,"",IF(P386&lt;=0,"AGOTADO","OK"))</f>
        <v/>
      </c>
    </row>
    <row r="387" customFormat="false" ht="15" hidden="false" customHeight="false" outlineLevel="0" collapsed="false">
      <c r="A387" s="15" t="n">
        <f aca="false">A386+1</f>
        <v>385</v>
      </c>
      <c r="B387" s="15" t="n">
        <f aca="false">IF($A387="","",ROUNDUP($A387/12,0))</f>
        <v>33</v>
      </c>
      <c r="C387" s="15" t="n">
        <f aca="false">IF($A387="","",PARAMETROS!$C$6+INT(($A387-1)/12))</f>
        <v>97</v>
      </c>
      <c r="D387" s="15" t="n">
        <f aca="false">IF($A387="","",MOD($A387-1,12)+1)</f>
        <v>1</v>
      </c>
      <c r="E387" s="16" t="str">
        <f aca="false">IF($A387&gt;PARAMETROS!$C$33,"",P386)</f>
        <v/>
      </c>
      <c r="F387" s="17" t="str">
        <f aca="false">IF($A387&gt;PARAMETROS!$C$33,"",PARAMETROS!$C$38)</f>
        <v/>
      </c>
      <c r="G387" s="16" t="str">
        <f aca="false">IF($A387&gt;PARAMETROS!$C$33,"",E387*F387)</f>
        <v/>
      </c>
      <c r="H387" s="16" t="str">
        <f aca="false">IF($A387&gt;PARAMETROS!$C$33,"",E387*PARAMETROS!$C$39)</f>
        <v/>
      </c>
      <c r="I387" s="16" t="str">
        <f aca="false">IF($A387&gt;PARAMETROS!$C$33,"",G387-H387)</f>
        <v/>
      </c>
      <c r="J387" s="16" t="str">
        <f aca="false">IF($A387&gt;PARAMETROS!$C$33,"",PARAMETROS!$C$9*(1+PARAMETROS!$C$17)^(B387-1))</f>
        <v/>
      </c>
      <c r="K387" s="16" t="str">
        <f aca="false">IF($A387&gt;PARAMETROS!$C$33,"",K386*(1+PARAMETROS!$C$36))</f>
        <v/>
      </c>
      <c r="L387" s="16" t="str">
        <f aca="false">IF($A387&gt;PARAMETROS!$C$33,"",L386*(1+PARAMETROS!$C$37)*(1+M387))</f>
        <v/>
      </c>
      <c r="M387" s="17" t="str">
        <f aca="false">IF($A387&gt;PARAMETROS!$C$33,"",IF(C387&lt;70,PARAMETROS!$C$40,IF(C387&lt;75,PARAMETROS!$C$41,IF(C387&lt;80,PARAMETROS!$C$42,IF(C387&lt;85,PARAMETROS!$C$43,IF(C387&lt;90,PARAMETROS!$C$44,PARAMETROS!$C$45))))))</f>
        <v/>
      </c>
      <c r="N387" s="16" t="str">
        <f aca="false">IF($A387&gt;PARAMETROS!$C$33,"",K387+L387)</f>
        <v/>
      </c>
      <c r="O387" s="16" t="str">
        <f aca="false">IF($A387&gt;PARAMETROS!$C$33,"",I387+J387-N387)</f>
        <v/>
      </c>
      <c r="P387" s="16" t="str">
        <f aca="false">IF($A387&gt;PARAMETROS!$C$33,"",MAX(E387+I387+J387-N387,0))</f>
        <v/>
      </c>
      <c r="Q387" s="18" t="str">
        <f aca="false">IF($A387&gt;PARAMETROS!$C$33,"",IF(P387&lt;=0,"AGOTADO","OK"))</f>
        <v/>
      </c>
    </row>
    <row r="388" customFormat="false" ht="15" hidden="false" customHeight="false" outlineLevel="0" collapsed="false">
      <c r="A388" s="15" t="n">
        <f aca="false">A387+1</f>
        <v>386</v>
      </c>
      <c r="B388" s="15" t="n">
        <f aca="false">IF($A388="","",ROUNDUP($A388/12,0))</f>
        <v>33</v>
      </c>
      <c r="C388" s="15" t="n">
        <f aca="false">IF($A388="","",PARAMETROS!$C$6+INT(($A388-1)/12))</f>
        <v>97</v>
      </c>
      <c r="D388" s="15" t="n">
        <f aca="false">IF($A388="","",MOD($A388-1,12)+1)</f>
        <v>2</v>
      </c>
      <c r="E388" s="16" t="str">
        <f aca="false">IF($A388&gt;PARAMETROS!$C$33,"",P387)</f>
        <v/>
      </c>
      <c r="F388" s="17" t="str">
        <f aca="false">IF($A388&gt;PARAMETROS!$C$33,"",PARAMETROS!$C$38)</f>
        <v/>
      </c>
      <c r="G388" s="16" t="str">
        <f aca="false">IF($A388&gt;PARAMETROS!$C$33,"",E388*F388)</f>
        <v/>
      </c>
      <c r="H388" s="16" t="str">
        <f aca="false">IF($A388&gt;PARAMETROS!$C$33,"",E388*PARAMETROS!$C$39)</f>
        <v/>
      </c>
      <c r="I388" s="16" t="str">
        <f aca="false">IF($A388&gt;PARAMETROS!$C$33,"",G388-H388)</f>
        <v/>
      </c>
      <c r="J388" s="16" t="str">
        <f aca="false">IF($A388&gt;PARAMETROS!$C$33,"",PARAMETROS!$C$9*(1+PARAMETROS!$C$17)^(B388-1))</f>
        <v/>
      </c>
      <c r="K388" s="16" t="str">
        <f aca="false">IF($A388&gt;PARAMETROS!$C$33,"",K387*(1+PARAMETROS!$C$36))</f>
        <v/>
      </c>
      <c r="L388" s="16" t="str">
        <f aca="false">IF($A388&gt;PARAMETROS!$C$33,"",L387*(1+PARAMETROS!$C$37)*(1+M388))</f>
        <v/>
      </c>
      <c r="M388" s="17" t="str">
        <f aca="false">IF($A388&gt;PARAMETROS!$C$33,"",IF(C388&lt;70,PARAMETROS!$C$40,IF(C388&lt;75,PARAMETROS!$C$41,IF(C388&lt;80,PARAMETROS!$C$42,IF(C388&lt;85,PARAMETROS!$C$43,IF(C388&lt;90,PARAMETROS!$C$44,PARAMETROS!$C$45))))))</f>
        <v/>
      </c>
      <c r="N388" s="16" t="str">
        <f aca="false">IF($A388&gt;PARAMETROS!$C$33,"",K388+L388)</f>
        <v/>
      </c>
      <c r="O388" s="16" t="str">
        <f aca="false">IF($A388&gt;PARAMETROS!$C$33,"",I388+J388-N388)</f>
        <v/>
      </c>
      <c r="P388" s="16" t="str">
        <f aca="false">IF($A388&gt;PARAMETROS!$C$33,"",MAX(E388+I388+J388-N388,0))</f>
        <v/>
      </c>
      <c r="Q388" s="18" t="str">
        <f aca="false">IF($A388&gt;PARAMETROS!$C$33,"",IF(P388&lt;=0,"AGOTADO","OK"))</f>
        <v/>
      </c>
    </row>
    <row r="389" customFormat="false" ht="15" hidden="false" customHeight="false" outlineLevel="0" collapsed="false">
      <c r="A389" s="15" t="n">
        <f aca="false">A388+1</f>
        <v>387</v>
      </c>
      <c r="B389" s="15" t="n">
        <f aca="false">IF($A389="","",ROUNDUP($A389/12,0))</f>
        <v>33</v>
      </c>
      <c r="C389" s="15" t="n">
        <f aca="false">IF($A389="","",PARAMETROS!$C$6+INT(($A389-1)/12))</f>
        <v>97</v>
      </c>
      <c r="D389" s="15" t="n">
        <f aca="false">IF($A389="","",MOD($A389-1,12)+1)</f>
        <v>3</v>
      </c>
      <c r="E389" s="16" t="str">
        <f aca="false">IF($A389&gt;PARAMETROS!$C$33,"",P388)</f>
        <v/>
      </c>
      <c r="F389" s="17" t="str">
        <f aca="false">IF($A389&gt;PARAMETROS!$C$33,"",PARAMETROS!$C$38)</f>
        <v/>
      </c>
      <c r="G389" s="16" t="str">
        <f aca="false">IF($A389&gt;PARAMETROS!$C$33,"",E389*F389)</f>
        <v/>
      </c>
      <c r="H389" s="16" t="str">
        <f aca="false">IF($A389&gt;PARAMETROS!$C$33,"",E389*PARAMETROS!$C$39)</f>
        <v/>
      </c>
      <c r="I389" s="16" t="str">
        <f aca="false">IF($A389&gt;PARAMETROS!$C$33,"",G389-H389)</f>
        <v/>
      </c>
      <c r="J389" s="16" t="str">
        <f aca="false">IF($A389&gt;PARAMETROS!$C$33,"",PARAMETROS!$C$9*(1+PARAMETROS!$C$17)^(B389-1))</f>
        <v/>
      </c>
      <c r="K389" s="16" t="str">
        <f aca="false">IF($A389&gt;PARAMETROS!$C$33,"",K388*(1+PARAMETROS!$C$36))</f>
        <v/>
      </c>
      <c r="L389" s="16" t="str">
        <f aca="false">IF($A389&gt;PARAMETROS!$C$33,"",L388*(1+PARAMETROS!$C$37)*(1+M389))</f>
        <v/>
      </c>
      <c r="M389" s="17" t="str">
        <f aca="false">IF($A389&gt;PARAMETROS!$C$33,"",IF(C389&lt;70,PARAMETROS!$C$40,IF(C389&lt;75,PARAMETROS!$C$41,IF(C389&lt;80,PARAMETROS!$C$42,IF(C389&lt;85,PARAMETROS!$C$43,IF(C389&lt;90,PARAMETROS!$C$44,PARAMETROS!$C$45))))))</f>
        <v/>
      </c>
      <c r="N389" s="16" t="str">
        <f aca="false">IF($A389&gt;PARAMETROS!$C$33,"",K389+L389)</f>
        <v/>
      </c>
      <c r="O389" s="16" t="str">
        <f aca="false">IF($A389&gt;PARAMETROS!$C$33,"",I389+J389-N389)</f>
        <v/>
      </c>
      <c r="P389" s="16" t="str">
        <f aca="false">IF($A389&gt;PARAMETROS!$C$33,"",MAX(E389+I389+J389-N389,0))</f>
        <v/>
      </c>
      <c r="Q389" s="18" t="str">
        <f aca="false">IF($A389&gt;PARAMETROS!$C$33,"",IF(P389&lt;=0,"AGOTADO","OK"))</f>
        <v/>
      </c>
    </row>
    <row r="390" customFormat="false" ht="15" hidden="false" customHeight="false" outlineLevel="0" collapsed="false">
      <c r="A390" s="15" t="n">
        <f aca="false">A389+1</f>
        <v>388</v>
      </c>
      <c r="B390" s="15" t="n">
        <f aca="false">IF($A390="","",ROUNDUP($A390/12,0))</f>
        <v>33</v>
      </c>
      <c r="C390" s="15" t="n">
        <f aca="false">IF($A390="","",PARAMETROS!$C$6+INT(($A390-1)/12))</f>
        <v>97</v>
      </c>
      <c r="D390" s="15" t="n">
        <f aca="false">IF($A390="","",MOD($A390-1,12)+1)</f>
        <v>4</v>
      </c>
      <c r="E390" s="16" t="str">
        <f aca="false">IF($A390&gt;PARAMETROS!$C$33,"",P389)</f>
        <v/>
      </c>
      <c r="F390" s="17" t="str">
        <f aca="false">IF($A390&gt;PARAMETROS!$C$33,"",PARAMETROS!$C$38)</f>
        <v/>
      </c>
      <c r="G390" s="16" t="str">
        <f aca="false">IF($A390&gt;PARAMETROS!$C$33,"",E390*F390)</f>
        <v/>
      </c>
      <c r="H390" s="16" t="str">
        <f aca="false">IF($A390&gt;PARAMETROS!$C$33,"",E390*PARAMETROS!$C$39)</f>
        <v/>
      </c>
      <c r="I390" s="16" t="str">
        <f aca="false">IF($A390&gt;PARAMETROS!$C$33,"",G390-H390)</f>
        <v/>
      </c>
      <c r="J390" s="16" t="str">
        <f aca="false">IF($A390&gt;PARAMETROS!$C$33,"",PARAMETROS!$C$9*(1+PARAMETROS!$C$17)^(B390-1))</f>
        <v/>
      </c>
      <c r="K390" s="16" t="str">
        <f aca="false">IF($A390&gt;PARAMETROS!$C$33,"",K389*(1+PARAMETROS!$C$36))</f>
        <v/>
      </c>
      <c r="L390" s="16" t="str">
        <f aca="false">IF($A390&gt;PARAMETROS!$C$33,"",L389*(1+PARAMETROS!$C$37)*(1+M390))</f>
        <v/>
      </c>
      <c r="M390" s="17" t="str">
        <f aca="false">IF($A390&gt;PARAMETROS!$C$33,"",IF(C390&lt;70,PARAMETROS!$C$40,IF(C390&lt;75,PARAMETROS!$C$41,IF(C390&lt;80,PARAMETROS!$C$42,IF(C390&lt;85,PARAMETROS!$C$43,IF(C390&lt;90,PARAMETROS!$C$44,PARAMETROS!$C$45))))))</f>
        <v/>
      </c>
      <c r="N390" s="16" t="str">
        <f aca="false">IF($A390&gt;PARAMETROS!$C$33,"",K390+L390)</f>
        <v/>
      </c>
      <c r="O390" s="16" t="str">
        <f aca="false">IF($A390&gt;PARAMETROS!$C$33,"",I390+J390-N390)</f>
        <v/>
      </c>
      <c r="P390" s="16" t="str">
        <f aca="false">IF($A390&gt;PARAMETROS!$C$33,"",MAX(E390+I390+J390-N390,0))</f>
        <v/>
      </c>
      <c r="Q390" s="18" t="str">
        <f aca="false">IF($A390&gt;PARAMETROS!$C$33,"",IF(P390&lt;=0,"AGOTADO","OK"))</f>
        <v/>
      </c>
    </row>
    <row r="391" customFormat="false" ht="15" hidden="false" customHeight="false" outlineLevel="0" collapsed="false">
      <c r="A391" s="15" t="n">
        <f aca="false">A390+1</f>
        <v>389</v>
      </c>
      <c r="B391" s="15" t="n">
        <f aca="false">IF($A391="","",ROUNDUP($A391/12,0))</f>
        <v>33</v>
      </c>
      <c r="C391" s="15" t="n">
        <f aca="false">IF($A391="","",PARAMETROS!$C$6+INT(($A391-1)/12))</f>
        <v>97</v>
      </c>
      <c r="D391" s="15" t="n">
        <f aca="false">IF($A391="","",MOD($A391-1,12)+1)</f>
        <v>5</v>
      </c>
      <c r="E391" s="16" t="str">
        <f aca="false">IF($A391&gt;PARAMETROS!$C$33,"",P390)</f>
        <v/>
      </c>
      <c r="F391" s="17" t="str">
        <f aca="false">IF($A391&gt;PARAMETROS!$C$33,"",PARAMETROS!$C$38)</f>
        <v/>
      </c>
      <c r="G391" s="16" t="str">
        <f aca="false">IF($A391&gt;PARAMETROS!$C$33,"",E391*F391)</f>
        <v/>
      </c>
      <c r="H391" s="16" t="str">
        <f aca="false">IF($A391&gt;PARAMETROS!$C$33,"",E391*PARAMETROS!$C$39)</f>
        <v/>
      </c>
      <c r="I391" s="16" t="str">
        <f aca="false">IF($A391&gt;PARAMETROS!$C$33,"",G391-H391)</f>
        <v/>
      </c>
      <c r="J391" s="16" t="str">
        <f aca="false">IF($A391&gt;PARAMETROS!$C$33,"",PARAMETROS!$C$9*(1+PARAMETROS!$C$17)^(B391-1))</f>
        <v/>
      </c>
      <c r="K391" s="16" t="str">
        <f aca="false">IF($A391&gt;PARAMETROS!$C$33,"",K390*(1+PARAMETROS!$C$36))</f>
        <v/>
      </c>
      <c r="L391" s="16" t="str">
        <f aca="false">IF($A391&gt;PARAMETROS!$C$33,"",L390*(1+PARAMETROS!$C$37)*(1+M391))</f>
        <v/>
      </c>
      <c r="M391" s="17" t="str">
        <f aca="false">IF($A391&gt;PARAMETROS!$C$33,"",IF(C391&lt;70,PARAMETROS!$C$40,IF(C391&lt;75,PARAMETROS!$C$41,IF(C391&lt;80,PARAMETROS!$C$42,IF(C391&lt;85,PARAMETROS!$C$43,IF(C391&lt;90,PARAMETROS!$C$44,PARAMETROS!$C$45))))))</f>
        <v/>
      </c>
      <c r="N391" s="16" t="str">
        <f aca="false">IF($A391&gt;PARAMETROS!$C$33,"",K391+L391)</f>
        <v/>
      </c>
      <c r="O391" s="16" t="str">
        <f aca="false">IF($A391&gt;PARAMETROS!$C$33,"",I391+J391-N391)</f>
        <v/>
      </c>
      <c r="P391" s="16" t="str">
        <f aca="false">IF($A391&gt;PARAMETROS!$C$33,"",MAX(E391+I391+J391-N391,0))</f>
        <v/>
      </c>
      <c r="Q391" s="18" t="str">
        <f aca="false">IF($A391&gt;PARAMETROS!$C$33,"",IF(P391&lt;=0,"AGOTADO","OK"))</f>
        <v/>
      </c>
    </row>
    <row r="392" customFormat="false" ht="15" hidden="false" customHeight="false" outlineLevel="0" collapsed="false">
      <c r="A392" s="15" t="n">
        <f aca="false">A391+1</f>
        <v>390</v>
      </c>
      <c r="B392" s="15" t="n">
        <f aca="false">IF($A392="","",ROUNDUP($A392/12,0))</f>
        <v>33</v>
      </c>
      <c r="C392" s="15" t="n">
        <f aca="false">IF($A392="","",PARAMETROS!$C$6+INT(($A392-1)/12))</f>
        <v>97</v>
      </c>
      <c r="D392" s="15" t="n">
        <f aca="false">IF($A392="","",MOD($A392-1,12)+1)</f>
        <v>6</v>
      </c>
      <c r="E392" s="16" t="str">
        <f aca="false">IF($A392&gt;PARAMETROS!$C$33,"",P391)</f>
        <v/>
      </c>
      <c r="F392" s="17" t="str">
        <f aca="false">IF($A392&gt;PARAMETROS!$C$33,"",PARAMETROS!$C$38)</f>
        <v/>
      </c>
      <c r="G392" s="16" t="str">
        <f aca="false">IF($A392&gt;PARAMETROS!$C$33,"",E392*F392)</f>
        <v/>
      </c>
      <c r="H392" s="16" t="str">
        <f aca="false">IF($A392&gt;PARAMETROS!$C$33,"",E392*PARAMETROS!$C$39)</f>
        <v/>
      </c>
      <c r="I392" s="16" t="str">
        <f aca="false">IF($A392&gt;PARAMETROS!$C$33,"",G392-H392)</f>
        <v/>
      </c>
      <c r="J392" s="16" t="str">
        <f aca="false">IF($A392&gt;PARAMETROS!$C$33,"",PARAMETROS!$C$9*(1+PARAMETROS!$C$17)^(B392-1))</f>
        <v/>
      </c>
      <c r="K392" s="16" t="str">
        <f aca="false">IF($A392&gt;PARAMETROS!$C$33,"",K391*(1+PARAMETROS!$C$36))</f>
        <v/>
      </c>
      <c r="L392" s="16" t="str">
        <f aca="false">IF($A392&gt;PARAMETROS!$C$33,"",L391*(1+PARAMETROS!$C$37)*(1+M392))</f>
        <v/>
      </c>
      <c r="M392" s="17" t="str">
        <f aca="false">IF($A392&gt;PARAMETROS!$C$33,"",IF(C392&lt;70,PARAMETROS!$C$40,IF(C392&lt;75,PARAMETROS!$C$41,IF(C392&lt;80,PARAMETROS!$C$42,IF(C392&lt;85,PARAMETROS!$C$43,IF(C392&lt;90,PARAMETROS!$C$44,PARAMETROS!$C$45))))))</f>
        <v/>
      </c>
      <c r="N392" s="16" t="str">
        <f aca="false">IF($A392&gt;PARAMETROS!$C$33,"",K392+L392)</f>
        <v/>
      </c>
      <c r="O392" s="16" t="str">
        <f aca="false">IF($A392&gt;PARAMETROS!$C$33,"",I392+J392-N392)</f>
        <v/>
      </c>
      <c r="P392" s="16" t="str">
        <f aca="false">IF($A392&gt;PARAMETROS!$C$33,"",MAX(E392+I392+J392-N392,0))</f>
        <v/>
      </c>
      <c r="Q392" s="18" t="str">
        <f aca="false">IF($A392&gt;PARAMETROS!$C$33,"",IF(P392&lt;=0,"AGOTADO","OK"))</f>
        <v/>
      </c>
    </row>
    <row r="393" customFormat="false" ht="15" hidden="false" customHeight="false" outlineLevel="0" collapsed="false">
      <c r="A393" s="15" t="n">
        <f aca="false">A392+1</f>
        <v>391</v>
      </c>
      <c r="B393" s="15" t="n">
        <f aca="false">IF($A393="","",ROUNDUP($A393/12,0))</f>
        <v>33</v>
      </c>
      <c r="C393" s="15" t="n">
        <f aca="false">IF($A393="","",PARAMETROS!$C$6+INT(($A393-1)/12))</f>
        <v>97</v>
      </c>
      <c r="D393" s="15" t="n">
        <f aca="false">IF($A393="","",MOD($A393-1,12)+1)</f>
        <v>7</v>
      </c>
      <c r="E393" s="16" t="str">
        <f aca="false">IF($A393&gt;PARAMETROS!$C$33,"",P392)</f>
        <v/>
      </c>
      <c r="F393" s="17" t="str">
        <f aca="false">IF($A393&gt;PARAMETROS!$C$33,"",PARAMETROS!$C$38)</f>
        <v/>
      </c>
      <c r="G393" s="16" t="str">
        <f aca="false">IF($A393&gt;PARAMETROS!$C$33,"",E393*F393)</f>
        <v/>
      </c>
      <c r="H393" s="16" t="str">
        <f aca="false">IF($A393&gt;PARAMETROS!$C$33,"",E393*PARAMETROS!$C$39)</f>
        <v/>
      </c>
      <c r="I393" s="16" t="str">
        <f aca="false">IF($A393&gt;PARAMETROS!$C$33,"",G393-H393)</f>
        <v/>
      </c>
      <c r="J393" s="16" t="str">
        <f aca="false">IF($A393&gt;PARAMETROS!$C$33,"",PARAMETROS!$C$9*(1+PARAMETROS!$C$17)^(B393-1))</f>
        <v/>
      </c>
      <c r="K393" s="16" t="str">
        <f aca="false">IF($A393&gt;PARAMETROS!$C$33,"",K392*(1+PARAMETROS!$C$36))</f>
        <v/>
      </c>
      <c r="L393" s="16" t="str">
        <f aca="false">IF($A393&gt;PARAMETROS!$C$33,"",L392*(1+PARAMETROS!$C$37)*(1+M393))</f>
        <v/>
      </c>
      <c r="M393" s="17" t="str">
        <f aca="false">IF($A393&gt;PARAMETROS!$C$33,"",IF(C393&lt;70,PARAMETROS!$C$40,IF(C393&lt;75,PARAMETROS!$C$41,IF(C393&lt;80,PARAMETROS!$C$42,IF(C393&lt;85,PARAMETROS!$C$43,IF(C393&lt;90,PARAMETROS!$C$44,PARAMETROS!$C$45))))))</f>
        <v/>
      </c>
      <c r="N393" s="16" t="str">
        <f aca="false">IF($A393&gt;PARAMETROS!$C$33,"",K393+L393)</f>
        <v/>
      </c>
      <c r="O393" s="16" t="str">
        <f aca="false">IF($A393&gt;PARAMETROS!$C$33,"",I393+J393-N393)</f>
        <v/>
      </c>
      <c r="P393" s="16" t="str">
        <f aca="false">IF($A393&gt;PARAMETROS!$C$33,"",MAX(E393+I393+J393-N393,0))</f>
        <v/>
      </c>
      <c r="Q393" s="18" t="str">
        <f aca="false">IF($A393&gt;PARAMETROS!$C$33,"",IF(P393&lt;=0,"AGOTADO","OK"))</f>
        <v/>
      </c>
    </row>
    <row r="394" customFormat="false" ht="15" hidden="false" customHeight="false" outlineLevel="0" collapsed="false">
      <c r="A394" s="15" t="n">
        <f aca="false">A393+1</f>
        <v>392</v>
      </c>
      <c r="B394" s="15" t="n">
        <f aca="false">IF($A394="","",ROUNDUP($A394/12,0))</f>
        <v>33</v>
      </c>
      <c r="C394" s="15" t="n">
        <f aca="false">IF($A394="","",PARAMETROS!$C$6+INT(($A394-1)/12))</f>
        <v>97</v>
      </c>
      <c r="D394" s="15" t="n">
        <f aca="false">IF($A394="","",MOD($A394-1,12)+1)</f>
        <v>8</v>
      </c>
      <c r="E394" s="16" t="str">
        <f aca="false">IF($A394&gt;PARAMETROS!$C$33,"",P393)</f>
        <v/>
      </c>
      <c r="F394" s="17" t="str">
        <f aca="false">IF($A394&gt;PARAMETROS!$C$33,"",PARAMETROS!$C$38)</f>
        <v/>
      </c>
      <c r="G394" s="16" t="str">
        <f aca="false">IF($A394&gt;PARAMETROS!$C$33,"",E394*F394)</f>
        <v/>
      </c>
      <c r="H394" s="16" t="str">
        <f aca="false">IF($A394&gt;PARAMETROS!$C$33,"",E394*PARAMETROS!$C$39)</f>
        <v/>
      </c>
      <c r="I394" s="16" t="str">
        <f aca="false">IF($A394&gt;PARAMETROS!$C$33,"",G394-H394)</f>
        <v/>
      </c>
      <c r="J394" s="16" t="str">
        <f aca="false">IF($A394&gt;PARAMETROS!$C$33,"",PARAMETROS!$C$9*(1+PARAMETROS!$C$17)^(B394-1))</f>
        <v/>
      </c>
      <c r="K394" s="16" t="str">
        <f aca="false">IF($A394&gt;PARAMETROS!$C$33,"",K393*(1+PARAMETROS!$C$36))</f>
        <v/>
      </c>
      <c r="L394" s="16" t="str">
        <f aca="false">IF($A394&gt;PARAMETROS!$C$33,"",L393*(1+PARAMETROS!$C$37)*(1+M394))</f>
        <v/>
      </c>
      <c r="M394" s="17" t="str">
        <f aca="false">IF($A394&gt;PARAMETROS!$C$33,"",IF(C394&lt;70,PARAMETROS!$C$40,IF(C394&lt;75,PARAMETROS!$C$41,IF(C394&lt;80,PARAMETROS!$C$42,IF(C394&lt;85,PARAMETROS!$C$43,IF(C394&lt;90,PARAMETROS!$C$44,PARAMETROS!$C$45))))))</f>
        <v/>
      </c>
      <c r="N394" s="16" t="str">
        <f aca="false">IF($A394&gt;PARAMETROS!$C$33,"",K394+L394)</f>
        <v/>
      </c>
      <c r="O394" s="16" t="str">
        <f aca="false">IF($A394&gt;PARAMETROS!$C$33,"",I394+J394-N394)</f>
        <v/>
      </c>
      <c r="P394" s="16" t="str">
        <f aca="false">IF($A394&gt;PARAMETROS!$C$33,"",MAX(E394+I394+J394-N394,0))</f>
        <v/>
      </c>
      <c r="Q394" s="18" t="str">
        <f aca="false">IF($A394&gt;PARAMETROS!$C$33,"",IF(P394&lt;=0,"AGOTADO","OK"))</f>
        <v/>
      </c>
    </row>
    <row r="395" customFormat="false" ht="15" hidden="false" customHeight="false" outlineLevel="0" collapsed="false">
      <c r="A395" s="15" t="n">
        <f aca="false">A394+1</f>
        <v>393</v>
      </c>
      <c r="B395" s="15" t="n">
        <f aca="false">IF($A395="","",ROUNDUP($A395/12,0))</f>
        <v>33</v>
      </c>
      <c r="C395" s="15" t="n">
        <f aca="false">IF($A395="","",PARAMETROS!$C$6+INT(($A395-1)/12))</f>
        <v>97</v>
      </c>
      <c r="D395" s="15" t="n">
        <f aca="false">IF($A395="","",MOD($A395-1,12)+1)</f>
        <v>9</v>
      </c>
      <c r="E395" s="16" t="str">
        <f aca="false">IF($A395&gt;PARAMETROS!$C$33,"",P394)</f>
        <v/>
      </c>
      <c r="F395" s="17" t="str">
        <f aca="false">IF($A395&gt;PARAMETROS!$C$33,"",PARAMETROS!$C$38)</f>
        <v/>
      </c>
      <c r="G395" s="16" t="str">
        <f aca="false">IF($A395&gt;PARAMETROS!$C$33,"",E395*F395)</f>
        <v/>
      </c>
      <c r="H395" s="16" t="str">
        <f aca="false">IF($A395&gt;PARAMETROS!$C$33,"",E395*PARAMETROS!$C$39)</f>
        <v/>
      </c>
      <c r="I395" s="16" t="str">
        <f aca="false">IF($A395&gt;PARAMETROS!$C$33,"",G395-H395)</f>
        <v/>
      </c>
      <c r="J395" s="16" t="str">
        <f aca="false">IF($A395&gt;PARAMETROS!$C$33,"",PARAMETROS!$C$9*(1+PARAMETROS!$C$17)^(B395-1))</f>
        <v/>
      </c>
      <c r="K395" s="16" t="str">
        <f aca="false">IF($A395&gt;PARAMETROS!$C$33,"",K394*(1+PARAMETROS!$C$36))</f>
        <v/>
      </c>
      <c r="L395" s="16" t="str">
        <f aca="false">IF($A395&gt;PARAMETROS!$C$33,"",L394*(1+PARAMETROS!$C$37)*(1+M395))</f>
        <v/>
      </c>
      <c r="M395" s="17" t="str">
        <f aca="false">IF($A395&gt;PARAMETROS!$C$33,"",IF(C395&lt;70,PARAMETROS!$C$40,IF(C395&lt;75,PARAMETROS!$C$41,IF(C395&lt;80,PARAMETROS!$C$42,IF(C395&lt;85,PARAMETROS!$C$43,IF(C395&lt;90,PARAMETROS!$C$44,PARAMETROS!$C$45))))))</f>
        <v/>
      </c>
      <c r="N395" s="16" t="str">
        <f aca="false">IF($A395&gt;PARAMETROS!$C$33,"",K395+L395)</f>
        <v/>
      </c>
      <c r="O395" s="16" t="str">
        <f aca="false">IF($A395&gt;PARAMETROS!$C$33,"",I395+J395-N395)</f>
        <v/>
      </c>
      <c r="P395" s="16" t="str">
        <f aca="false">IF($A395&gt;PARAMETROS!$C$33,"",MAX(E395+I395+J395-N395,0))</f>
        <v/>
      </c>
      <c r="Q395" s="18" t="str">
        <f aca="false">IF($A395&gt;PARAMETROS!$C$33,"",IF(P395&lt;=0,"AGOTADO","OK"))</f>
        <v/>
      </c>
    </row>
    <row r="396" customFormat="false" ht="15" hidden="false" customHeight="false" outlineLevel="0" collapsed="false">
      <c r="A396" s="15" t="n">
        <f aca="false">A395+1</f>
        <v>394</v>
      </c>
      <c r="B396" s="15" t="n">
        <f aca="false">IF($A396="","",ROUNDUP($A396/12,0))</f>
        <v>33</v>
      </c>
      <c r="C396" s="15" t="n">
        <f aca="false">IF($A396="","",PARAMETROS!$C$6+INT(($A396-1)/12))</f>
        <v>97</v>
      </c>
      <c r="D396" s="15" t="n">
        <f aca="false">IF($A396="","",MOD($A396-1,12)+1)</f>
        <v>10</v>
      </c>
      <c r="E396" s="16" t="str">
        <f aca="false">IF($A396&gt;PARAMETROS!$C$33,"",P395)</f>
        <v/>
      </c>
      <c r="F396" s="17" t="str">
        <f aca="false">IF($A396&gt;PARAMETROS!$C$33,"",PARAMETROS!$C$38)</f>
        <v/>
      </c>
      <c r="G396" s="16" t="str">
        <f aca="false">IF($A396&gt;PARAMETROS!$C$33,"",E396*F396)</f>
        <v/>
      </c>
      <c r="H396" s="16" t="str">
        <f aca="false">IF($A396&gt;PARAMETROS!$C$33,"",E396*PARAMETROS!$C$39)</f>
        <v/>
      </c>
      <c r="I396" s="16" t="str">
        <f aca="false">IF($A396&gt;PARAMETROS!$C$33,"",G396-H396)</f>
        <v/>
      </c>
      <c r="J396" s="16" t="str">
        <f aca="false">IF($A396&gt;PARAMETROS!$C$33,"",PARAMETROS!$C$9*(1+PARAMETROS!$C$17)^(B396-1))</f>
        <v/>
      </c>
      <c r="K396" s="16" t="str">
        <f aca="false">IF($A396&gt;PARAMETROS!$C$33,"",K395*(1+PARAMETROS!$C$36))</f>
        <v/>
      </c>
      <c r="L396" s="16" t="str">
        <f aca="false">IF($A396&gt;PARAMETROS!$C$33,"",L395*(1+PARAMETROS!$C$37)*(1+M396))</f>
        <v/>
      </c>
      <c r="M396" s="17" t="str">
        <f aca="false">IF($A396&gt;PARAMETROS!$C$33,"",IF(C396&lt;70,PARAMETROS!$C$40,IF(C396&lt;75,PARAMETROS!$C$41,IF(C396&lt;80,PARAMETROS!$C$42,IF(C396&lt;85,PARAMETROS!$C$43,IF(C396&lt;90,PARAMETROS!$C$44,PARAMETROS!$C$45))))))</f>
        <v/>
      </c>
      <c r="N396" s="16" t="str">
        <f aca="false">IF($A396&gt;PARAMETROS!$C$33,"",K396+L396)</f>
        <v/>
      </c>
      <c r="O396" s="16" t="str">
        <f aca="false">IF($A396&gt;PARAMETROS!$C$33,"",I396+J396-N396)</f>
        <v/>
      </c>
      <c r="P396" s="16" t="str">
        <f aca="false">IF($A396&gt;PARAMETROS!$C$33,"",MAX(E396+I396+J396-N396,0))</f>
        <v/>
      </c>
      <c r="Q396" s="18" t="str">
        <f aca="false">IF($A396&gt;PARAMETROS!$C$33,"",IF(P396&lt;=0,"AGOTADO","OK"))</f>
        <v/>
      </c>
    </row>
    <row r="397" customFormat="false" ht="15" hidden="false" customHeight="false" outlineLevel="0" collapsed="false">
      <c r="A397" s="15" t="n">
        <f aca="false">A396+1</f>
        <v>395</v>
      </c>
      <c r="B397" s="15" t="n">
        <f aca="false">IF($A397="","",ROUNDUP($A397/12,0))</f>
        <v>33</v>
      </c>
      <c r="C397" s="15" t="n">
        <f aca="false">IF($A397="","",PARAMETROS!$C$6+INT(($A397-1)/12))</f>
        <v>97</v>
      </c>
      <c r="D397" s="15" t="n">
        <f aca="false">IF($A397="","",MOD($A397-1,12)+1)</f>
        <v>11</v>
      </c>
      <c r="E397" s="16" t="str">
        <f aca="false">IF($A397&gt;PARAMETROS!$C$33,"",P396)</f>
        <v/>
      </c>
      <c r="F397" s="17" t="str">
        <f aca="false">IF($A397&gt;PARAMETROS!$C$33,"",PARAMETROS!$C$38)</f>
        <v/>
      </c>
      <c r="G397" s="16" t="str">
        <f aca="false">IF($A397&gt;PARAMETROS!$C$33,"",E397*F397)</f>
        <v/>
      </c>
      <c r="H397" s="16" t="str">
        <f aca="false">IF($A397&gt;PARAMETROS!$C$33,"",E397*PARAMETROS!$C$39)</f>
        <v/>
      </c>
      <c r="I397" s="16" t="str">
        <f aca="false">IF($A397&gt;PARAMETROS!$C$33,"",G397-H397)</f>
        <v/>
      </c>
      <c r="J397" s="16" t="str">
        <f aca="false">IF($A397&gt;PARAMETROS!$C$33,"",PARAMETROS!$C$9*(1+PARAMETROS!$C$17)^(B397-1))</f>
        <v/>
      </c>
      <c r="K397" s="16" t="str">
        <f aca="false">IF($A397&gt;PARAMETROS!$C$33,"",K396*(1+PARAMETROS!$C$36))</f>
        <v/>
      </c>
      <c r="L397" s="16" t="str">
        <f aca="false">IF($A397&gt;PARAMETROS!$C$33,"",L396*(1+PARAMETROS!$C$37)*(1+M397))</f>
        <v/>
      </c>
      <c r="M397" s="17" t="str">
        <f aca="false">IF($A397&gt;PARAMETROS!$C$33,"",IF(C397&lt;70,PARAMETROS!$C$40,IF(C397&lt;75,PARAMETROS!$C$41,IF(C397&lt;80,PARAMETROS!$C$42,IF(C397&lt;85,PARAMETROS!$C$43,IF(C397&lt;90,PARAMETROS!$C$44,PARAMETROS!$C$45))))))</f>
        <v/>
      </c>
      <c r="N397" s="16" t="str">
        <f aca="false">IF($A397&gt;PARAMETROS!$C$33,"",K397+L397)</f>
        <v/>
      </c>
      <c r="O397" s="16" t="str">
        <f aca="false">IF($A397&gt;PARAMETROS!$C$33,"",I397+J397-N397)</f>
        <v/>
      </c>
      <c r="P397" s="16" t="str">
        <f aca="false">IF($A397&gt;PARAMETROS!$C$33,"",MAX(E397+I397+J397-N397,0))</f>
        <v/>
      </c>
      <c r="Q397" s="18" t="str">
        <f aca="false">IF($A397&gt;PARAMETROS!$C$33,"",IF(P397&lt;=0,"AGOTADO","OK"))</f>
        <v/>
      </c>
    </row>
    <row r="398" customFormat="false" ht="15" hidden="false" customHeight="false" outlineLevel="0" collapsed="false">
      <c r="A398" s="15" t="n">
        <f aca="false">A397+1</f>
        <v>396</v>
      </c>
      <c r="B398" s="15" t="n">
        <f aca="false">IF($A398="","",ROUNDUP($A398/12,0))</f>
        <v>33</v>
      </c>
      <c r="C398" s="15" t="n">
        <f aca="false">IF($A398="","",PARAMETROS!$C$6+INT(($A398-1)/12))</f>
        <v>97</v>
      </c>
      <c r="D398" s="15" t="n">
        <f aca="false">IF($A398="","",MOD($A398-1,12)+1)</f>
        <v>12</v>
      </c>
      <c r="E398" s="16" t="str">
        <f aca="false">IF($A398&gt;PARAMETROS!$C$33,"",P397)</f>
        <v/>
      </c>
      <c r="F398" s="17" t="str">
        <f aca="false">IF($A398&gt;PARAMETROS!$C$33,"",PARAMETROS!$C$38)</f>
        <v/>
      </c>
      <c r="G398" s="16" t="str">
        <f aca="false">IF($A398&gt;PARAMETROS!$C$33,"",E398*F398)</f>
        <v/>
      </c>
      <c r="H398" s="16" t="str">
        <f aca="false">IF($A398&gt;PARAMETROS!$C$33,"",E398*PARAMETROS!$C$39)</f>
        <v/>
      </c>
      <c r="I398" s="16" t="str">
        <f aca="false">IF($A398&gt;PARAMETROS!$C$33,"",G398-H398)</f>
        <v/>
      </c>
      <c r="J398" s="16" t="str">
        <f aca="false">IF($A398&gt;PARAMETROS!$C$33,"",PARAMETROS!$C$9*(1+PARAMETROS!$C$17)^(B398-1))</f>
        <v/>
      </c>
      <c r="K398" s="16" t="str">
        <f aca="false">IF($A398&gt;PARAMETROS!$C$33,"",K397*(1+PARAMETROS!$C$36))</f>
        <v/>
      </c>
      <c r="L398" s="16" t="str">
        <f aca="false">IF($A398&gt;PARAMETROS!$C$33,"",L397*(1+PARAMETROS!$C$37)*(1+M398))</f>
        <v/>
      </c>
      <c r="M398" s="17" t="str">
        <f aca="false">IF($A398&gt;PARAMETROS!$C$33,"",IF(C398&lt;70,PARAMETROS!$C$40,IF(C398&lt;75,PARAMETROS!$C$41,IF(C398&lt;80,PARAMETROS!$C$42,IF(C398&lt;85,PARAMETROS!$C$43,IF(C398&lt;90,PARAMETROS!$C$44,PARAMETROS!$C$45))))))</f>
        <v/>
      </c>
      <c r="N398" s="16" t="str">
        <f aca="false">IF($A398&gt;PARAMETROS!$C$33,"",K398+L398)</f>
        <v/>
      </c>
      <c r="O398" s="16" t="str">
        <f aca="false">IF($A398&gt;PARAMETROS!$C$33,"",I398+J398-N398)</f>
        <v/>
      </c>
      <c r="P398" s="16" t="str">
        <f aca="false">IF($A398&gt;PARAMETROS!$C$33,"",MAX(E398+I398+J398-N398,0))</f>
        <v/>
      </c>
      <c r="Q398" s="18" t="str">
        <f aca="false">IF($A398&gt;PARAMETROS!$C$33,"",IF(P398&lt;=0,"AGOTADO","OK"))</f>
        <v/>
      </c>
    </row>
    <row r="399" customFormat="false" ht="15" hidden="false" customHeight="false" outlineLevel="0" collapsed="false">
      <c r="A399" s="19" t="n">
        <f aca="false">A398+1</f>
        <v>397</v>
      </c>
      <c r="B399" s="19" t="n">
        <f aca="false">IF($A399="","",ROUNDUP($A399/12,0))</f>
        <v>34</v>
      </c>
      <c r="C399" s="19" t="n">
        <f aca="false">IF($A399="","",PARAMETROS!$C$6+INT(($A399-1)/12))</f>
        <v>98</v>
      </c>
      <c r="D399" s="19" t="n">
        <f aca="false">IF($A399="","",MOD($A399-1,12)+1)</f>
        <v>1</v>
      </c>
      <c r="E399" s="20" t="str">
        <f aca="false">IF($A399&gt;PARAMETROS!$C$33,"",P398)</f>
        <v/>
      </c>
      <c r="F399" s="21" t="str">
        <f aca="false">IF($A399&gt;PARAMETROS!$C$33,"",PARAMETROS!$C$38)</f>
        <v/>
      </c>
      <c r="G399" s="20" t="str">
        <f aca="false">IF($A399&gt;PARAMETROS!$C$33,"",E399*F399)</f>
        <v/>
      </c>
      <c r="H399" s="20" t="str">
        <f aca="false">IF($A399&gt;PARAMETROS!$C$33,"",E399*PARAMETROS!$C$39)</f>
        <v/>
      </c>
      <c r="I399" s="20" t="str">
        <f aca="false">IF($A399&gt;PARAMETROS!$C$33,"",G399-H399)</f>
        <v/>
      </c>
      <c r="J399" s="20" t="str">
        <f aca="false">IF($A399&gt;PARAMETROS!$C$33,"",PARAMETROS!$C$9*(1+PARAMETROS!$C$17)^(B399-1))</f>
        <v/>
      </c>
      <c r="K399" s="20" t="str">
        <f aca="false">IF($A399&gt;PARAMETROS!$C$33,"",K398*(1+PARAMETROS!$C$36))</f>
        <v/>
      </c>
      <c r="L399" s="20" t="str">
        <f aca="false">IF($A399&gt;PARAMETROS!$C$33,"",L398*(1+PARAMETROS!$C$37)*(1+M399))</f>
        <v/>
      </c>
      <c r="M399" s="21" t="str">
        <f aca="false">IF($A399&gt;PARAMETROS!$C$33,"",IF(C399&lt;70,PARAMETROS!$C$40,IF(C399&lt;75,PARAMETROS!$C$41,IF(C399&lt;80,PARAMETROS!$C$42,IF(C399&lt;85,PARAMETROS!$C$43,IF(C399&lt;90,PARAMETROS!$C$44,PARAMETROS!$C$45))))))</f>
        <v/>
      </c>
      <c r="N399" s="20" t="str">
        <f aca="false">IF($A399&gt;PARAMETROS!$C$33,"",K399+L399)</f>
        <v/>
      </c>
      <c r="O399" s="20" t="str">
        <f aca="false">IF($A399&gt;PARAMETROS!$C$33,"",I399+J399-N399)</f>
        <v/>
      </c>
      <c r="P399" s="20" t="str">
        <f aca="false">IF($A399&gt;PARAMETROS!$C$33,"",MAX(E399+I399+J399-N399,0))</f>
        <v/>
      </c>
      <c r="Q399" s="22" t="str">
        <f aca="false">IF($A399&gt;PARAMETROS!$C$33,"",IF(P399&lt;=0,"AGOTADO","OK"))</f>
        <v/>
      </c>
    </row>
    <row r="400" customFormat="false" ht="15" hidden="false" customHeight="false" outlineLevel="0" collapsed="false">
      <c r="A400" s="19" t="n">
        <f aca="false">A399+1</f>
        <v>398</v>
      </c>
      <c r="B400" s="19" t="n">
        <f aca="false">IF($A400="","",ROUNDUP($A400/12,0))</f>
        <v>34</v>
      </c>
      <c r="C400" s="19" t="n">
        <f aca="false">IF($A400="","",PARAMETROS!$C$6+INT(($A400-1)/12))</f>
        <v>98</v>
      </c>
      <c r="D400" s="19" t="n">
        <f aca="false">IF($A400="","",MOD($A400-1,12)+1)</f>
        <v>2</v>
      </c>
      <c r="E400" s="20" t="str">
        <f aca="false">IF($A400&gt;PARAMETROS!$C$33,"",P399)</f>
        <v/>
      </c>
      <c r="F400" s="21" t="str">
        <f aca="false">IF($A400&gt;PARAMETROS!$C$33,"",PARAMETROS!$C$38)</f>
        <v/>
      </c>
      <c r="G400" s="20" t="str">
        <f aca="false">IF($A400&gt;PARAMETROS!$C$33,"",E400*F400)</f>
        <v/>
      </c>
      <c r="H400" s="20" t="str">
        <f aca="false">IF($A400&gt;PARAMETROS!$C$33,"",E400*PARAMETROS!$C$39)</f>
        <v/>
      </c>
      <c r="I400" s="20" t="str">
        <f aca="false">IF($A400&gt;PARAMETROS!$C$33,"",G400-H400)</f>
        <v/>
      </c>
      <c r="J400" s="20" t="str">
        <f aca="false">IF($A400&gt;PARAMETROS!$C$33,"",PARAMETROS!$C$9*(1+PARAMETROS!$C$17)^(B400-1))</f>
        <v/>
      </c>
      <c r="K400" s="20" t="str">
        <f aca="false">IF($A400&gt;PARAMETROS!$C$33,"",K399*(1+PARAMETROS!$C$36))</f>
        <v/>
      </c>
      <c r="L400" s="20" t="str">
        <f aca="false">IF($A400&gt;PARAMETROS!$C$33,"",L399*(1+PARAMETROS!$C$37)*(1+M400))</f>
        <v/>
      </c>
      <c r="M400" s="21" t="str">
        <f aca="false">IF($A400&gt;PARAMETROS!$C$33,"",IF(C400&lt;70,PARAMETROS!$C$40,IF(C400&lt;75,PARAMETROS!$C$41,IF(C400&lt;80,PARAMETROS!$C$42,IF(C400&lt;85,PARAMETROS!$C$43,IF(C400&lt;90,PARAMETROS!$C$44,PARAMETROS!$C$45))))))</f>
        <v/>
      </c>
      <c r="N400" s="20" t="str">
        <f aca="false">IF($A400&gt;PARAMETROS!$C$33,"",K400+L400)</f>
        <v/>
      </c>
      <c r="O400" s="20" t="str">
        <f aca="false">IF($A400&gt;PARAMETROS!$C$33,"",I400+J400-N400)</f>
        <v/>
      </c>
      <c r="P400" s="20" t="str">
        <f aca="false">IF($A400&gt;PARAMETROS!$C$33,"",MAX(E400+I400+J400-N400,0))</f>
        <v/>
      </c>
      <c r="Q400" s="22" t="str">
        <f aca="false">IF($A400&gt;PARAMETROS!$C$33,"",IF(P400&lt;=0,"AGOTADO","OK"))</f>
        <v/>
      </c>
    </row>
    <row r="401" customFormat="false" ht="15" hidden="false" customHeight="false" outlineLevel="0" collapsed="false">
      <c r="A401" s="19" t="n">
        <f aca="false">A400+1</f>
        <v>399</v>
      </c>
      <c r="B401" s="19" t="n">
        <f aca="false">IF($A401="","",ROUNDUP($A401/12,0))</f>
        <v>34</v>
      </c>
      <c r="C401" s="19" t="n">
        <f aca="false">IF($A401="","",PARAMETROS!$C$6+INT(($A401-1)/12))</f>
        <v>98</v>
      </c>
      <c r="D401" s="19" t="n">
        <f aca="false">IF($A401="","",MOD($A401-1,12)+1)</f>
        <v>3</v>
      </c>
      <c r="E401" s="20" t="str">
        <f aca="false">IF($A401&gt;PARAMETROS!$C$33,"",P400)</f>
        <v/>
      </c>
      <c r="F401" s="21" t="str">
        <f aca="false">IF($A401&gt;PARAMETROS!$C$33,"",PARAMETROS!$C$38)</f>
        <v/>
      </c>
      <c r="G401" s="20" t="str">
        <f aca="false">IF($A401&gt;PARAMETROS!$C$33,"",E401*F401)</f>
        <v/>
      </c>
      <c r="H401" s="20" t="str">
        <f aca="false">IF($A401&gt;PARAMETROS!$C$33,"",E401*PARAMETROS!$C$39)</f>
        <v/>
      </c>
      <c r="I401" s="20" t="str">
        <f aca="false">IF($A401&gt;PARAMETROS!$C$33,"",G401-H401)</f>
        <v/>
      </c>
      <c r="J401" s="20" t="str">
        <f aca="false">IF($A401&gt;PARAMETROS!$C$33,"",PARAMETROS!$C$9*(1+PARAMETROS!$C$17)^(B401-1))</f>
        <v/>
      </c>
      <c r="K401" s="20" t="str">
        <f aca="false">IF($A401&gt;PARAMETROS!$C$33,"",K400*(1+PARAMETROS!$C$36))</f>
        <v/>
      </c>
      <c r="L401" s="20" t="str">
        <f aca="false">IF($A401&gt;PARAMETROS!$C$33,"",L400*(1+PARAMETROS!$C$37)*(1+M401))</f>
        <v/>
      </c>
      <c r="M401" s="21" t="str">
        <f aca="false">IF($A401&gt;PARAMETROS!$C$33,"",IF(C401&lt;70,PARAMETROS!$C$40,IF(C401&lt;75,PARAMETROS!$C$41,IF(C401&lt;80,PARAMETROS!$C$42,IF(C401&lt;85,PARAMETROS!$C$43,IF(C401&lt;90,PARAMETROS!$C$44,PARAMETROS!$C$45))))))</f>
        <v/>
      </c>
      <c r="N401" s="20" t="str">
        <f aca="false">IF($A401&gt;PARAMETROS!$C$33,"",K401+L401)</f>
        <v/>
      </c>
      <c r="O401" s="20" t="str">
        <f aca="false">IF($A401&gt;PARAMETROS!$C$33,"",I401+J401-N401)</f>
        <v/>
      </c>
      <c r="P401" s="20" t="str">
        <f aca="false">IF($A401&gt;PARAMETROS!$C$33,"",MAX(E401+I401+J401-N401,0))</f>
        <v/>
      </c>
      <c r="Q401" s="22" t="str">
        <f aca="false">IF($A401&gt;PARAMETROS!$C$33,"",IF(P401&lt;=0,"AGOTADO","OK"))</f>
        <v/>
      </c>
    </row>
    <row r="402" customFormat="false" ht="15" hidden="false" customHeight="false" outlineLevel="0" collapsed="false">
      <c r="A402" s="19" t="n">
        <f aca="false">A401+1</f>
        <v>400</v>
      </c>
      <c r="B402" s="19" t="n">
        <f aca="false">IF($A402="","",ROUNDUP($A402/12,0))</f>
        <v>34</v>
      </c>
      <c r="C402" s="19" t="n">
        <f aca="false">IF($A402="","",PARAMETROS!$C$6+INT(($A402-1)/12))</f>
        <v>98</v>
      </c>
      <c r="D402" s="19" t="n">
        <f aca="false">IF($A402="","",MOD($A402-1,12)+1)</f>
        <v>4</v>
      </c>
      <c r="E402" s="20" t="str">
        <f aca="false">IF($A402&gt;PARAMETROS!$C$33,"",P401)</f>
        <v/>
      </c>
      <c r="F402" s="21" t="str">
        <f aca="false">IF($A402&gt;PARAMETROS!$C$33,"",PARAMETROS!$C$38)</f>
        <v/>
      </c>
      <c r="G402" s="20" t="str">
        <f aca="false">IF($A402&gt;PARAMETROS!$C$33,"",E402*F402)</f>
        <v/>
      </c>
      <c r="H402" s="20" t="str">
        <f aca="false">IF($A402&gt;PARAMETROS!$C$33,"",E402*PARAMETROS!$C$39)</f>
        <v/>
      </c>
      <c r="I402" s="20" t="str">
        <f aca="false">IF($A402&gt;PARAMETROS!$C$33,"",G402-H402)</f>
        <v/>
      </c>
      <c r="J402" s="20" t="str">
        <f aca="false">IF($A402&gt;PARAMETROS!$C$33,"",PARAMETROS!$C$9*(1+PARAMETROS!$C$17)^(B402-1))</f>
        <v/>
      </c>
      <c r="K402" s="20" t="str">
        <f aca="false">IF($A402&gt;PARAMETROS!$C$33,"",K401*(1+PARAMETROS!$C$36))</f>
        <v/>
      </c>
      <c r="L402" s="20" t="str">
        <f aca="false">IF($A402&gt;PARAMETROS!$C$33,"",L401*(1+PARAMETROS!$C$37)*(1+M402))</f>
        <v/>
      </c>
      <c r="M402" s="21" t="str">
        <f aca="false">IF($A402&gt;PARAMETROS!$C$33,"",IF(C402&lt;70,PARAMETROS!$C$40,IF(C402&lt;75,PARAMETROS!$C$41,IF(C402&lt;80,PARAMETROS!$C$42,IF(C402&lt;85,PARAMETROS!$C$43,IF(C402&lt;90,PARAMETROS!$C$44,PARAMETROS!$C$45))))))</f>
        <v/>
      </c>
      <c r="N402" s="20" t="str">
        <f aca="false">IF($A402&gt;PARAMETROS!$C$33,"",K402+L402)</f>
        <v/>
      </c>
      <c r="O402" s="20" t="str">
        <f aca="false">IF($A402&gt;PARAMETROS!$C$33,"",I402+J402-N402)</f>
        <v/>
      </c>
      <c r="P402" s="20" t="str">
        <f aca="false">IF($A402&gt;PARAMETROS!$C$33,"",MAX(E402+I402+J402-N402,0))</f>
        <v/>
      </c>
      <c r="Q402" s="22" t="str">
        <f aca="false">IF($A402&gt;PARAMETROS!$C$33,"",IF(P402&lt;=0,"AGOTADO","OK"))</f>
        <v/>
      </c>
    </row>
    <row r="403" customFormat="false" ht="15" hidden="false" customHeight="false" outlineLevel="0" collapsed="false">
      <c r="A403" s="19" t="n">
        <f aca="false">A402+1</f>
        <v>401</v>
      </c>
      <c r="B403" s="19" t="n">
        <f aca="false">IF($A403="","",ROUNDUP($A403/12,0))</f>
        <v>34</v>
      </c>
      <c r="C403" s="19" t="n">
        <f aca="false">IF($A403="","",PARAMETROS!$C$6+INT(($A403-1)/12))</f>
        <v>98</v>
      </c>
      <c r="D403" s="19" t="n">
        <f aca="false">IF($A403="","",MOD($A403-1,12)+1)</f>
        <v>5</v>
      </c>
      <c r="E403" s="20" t="str">
        <f aca="false">IF($A403&gt;PARAMETROS!$C$33,"",P402)</f>
        <v/>
      </c>
      <c r="F403" s="21" t="str">
        <f aca="false">IF($A403&gt;PARAMETROS!$C$33,"",PARAMETROS!$C$38)</f>
        <v/>
      </c>
      <c r="G403" s="20" t="str">
        <f aca="false">IF($A403&gt;PARAMETROS!$C$33,"",E403*F403)</f>
        <v/>
      </c>
      <c r="H403" s="20" t="str">
        <f aca="false">IF($A403&gt;PARAMETROS!$C$33,"",E403*PARAMETROS!$C$39)</f>
        <v/>
      </c>
      <c r="I403" s="20" t="str">
        <f aca="false">IF($A403&gt;PARAMETROS!$C$33,"",G403-H403)</f>
        <v/>
      </c>
      <c r="J403" s="20" t="str">
        <f aca="false">IF($A403&gt;PARAMETROS!$C$33,"",PARAMETROS!$C$9*(1+PARAMETROS!$C$17)^(B403-1))</f>
        <v/>
      </c>
      <c r="K403" s="20" t="str">
        <f aca="false">IF($A403&gt;PARAMETROS!$C$33,"",K402*(1+PARAMETROS!$C$36))</f>
        <v/>
      </c>
      <c r="L403" s="20" t="str">
        <f aca="false">IF($A403&gt;PARAMETROS!$C$33,"",L402*(1+PARAMETROS!$C$37)*(1+M403))</f>
        <v/>
      </c>
      <c r="M403" s="21" t="str">
        <f aca="false">IF($A403&gt;PARAMETROS!$C$33,"",IF(C403&lt;70,PARAMETROS!$C$40,IF(C403&lt;75,PARAMETROS!$C$41,IF(C403&lt;80,PARAMETROS!$C$42,IF(C403&lt;85,PARAMETROS!$C$43,IF(C403&lt;90,PARAMETROS!$C$44,PARAMETROS!$C$45))))))</f>
        <v/>
      </c>
      <c r="N403" s="20" t="str">
        <f aca="false">IF($A403&gt;PARAMETROS!$C$33,"",K403+L403)</f>
        <v/>
      </c>
      <c r="O403" s="20" t="str">
        <f aca="false">IF($A403&gt;PARAMETROS!$C$33,"",I403+J403-N403)</f>
        <v/>
      </c>
      <c r="P403" s="20" t="str">
        <f aca="false">IF($A403&gt;PARAMETROS!$C$33,"",MAX(E403+I403+J403-N403,0))</f>
        <v/>
      </c>
      <c r="Q403" s="22" t="str">
        <f aca="false">IF($A403&gt;PARAMETROS!$C$33,"",IF(P403&lt;=0,"AGOTADO","OK"))</f>
        <v/>
      </c>
    </row>
    <row r="404" customFormat="false" ht="15" hidden="false" customHeight="false" outlineLevel="0" collapsed="false">
      <c r="A404" s="19" t="n">
        <f aca="false">A403+1</f>
        <v>402</v>
      </c>
      <c r="B404" s="19" t="n">
        <f aca="false">IF($A404="","",ROUNDUP($A404/12,0))</f>
        <v>34</v>
      </c>
      <c r="C404" s="19" t="n">
        <f aca="false">IF($A404="","",PARAMETROS!$C$6+INT(($A404-1)/12))</f>
        <v>98</v>
      </c>
      <c r="D404" s="19" t="n">
        <f aca="false">IF($A404="","",MOD($A404-1,12)+1)</f>
        <v>6</v>
      </c>
      <c r="E404" s="20" t="str">
        <f aca="false">IF($A404&gt;PARAMETROS!$C$33,"",P403)</f>
        <v/>
      </c>
      <c r="F404" s="21" t="str">
        <f aca="false">IF($A404&gt;PARAMETROS!$C$33,"",PARAMETROS!$C$38)</f>
        <v/>
      </c>
      <c r="G404" s="20" t="str">
        <f aca="false">IF($A404&gt;PARAMETROS!$C$33,"",E404*F404)</f>
        <v/>
      </c>
      <c r="H404" s="20" t="str">
        <f aca="false">IF($A404&gt;PARAMETROS!$C$33,"",E404*PARAMETROS!$C$39)</f>
        <v/>
      </c>
      <c r="I404" s="20" t="str">
        <f aca="false">IF($A404&gt;PARAMETROS!$C$33,"",G404-H404)</f>
        <v/>
      </c>
      <c r="J404" s="20" t="str">
        <f aca="false">IF($A404&gt;PARAMETROS!$C$33,"",PARAMETROS!$C$9*(1+PARAMETROS!$C$17)^(B404-1))</f>
        <v/>
      </c>
      <c r="K404" s="20" t="str">
        <f aca="false">IF($A404&gt;PARAMETROS!$C$33,"",K403*(1+PARAMETROS!$C$36))</f>
        <v/>
      </c>
      <c r="L404" s="20" t="str">
        <f aca="false">IF($A404&gt;PARAMETROS!$C$33,"",L403*(1+PARAMETROS!$C$37)*(1+M404))</f>
        <v/>
      </c>
      <c r="M404" s="21" t="str">
        <f aca="false">IF($A404&gt;PARAMETROS!$C$33,"",IF(C404&lt;70,PARAMETROS!$C$40,IF(C404&lt;75,PARAMETROS!$C$41,IF(C404&lt;80,PARAMETROS!$C$42,IF(C404&lt;85,PARAMETROS!$C$43,IF(C404&lt;90,PARAMETROS!$C$44,PARAMETROS!$C$45))))))</f>
        <v/>
      </c>
      <c r="N404" s="20" t="str">
        <f aca="false">IF($A404&gt;PARAMETROS!$C$33,"",K404+L404)</f>
        <v/>
      </c>
      <c r="O404" s="20" t="str">
        <f aca="false">IF($A404&gt;PARAMETROS!$C$33,"",I404+J404-N404)</f>
        <v/>
      </c>
      <c r="P404" s="20" t="str">
        <f aca="false">IF($A404&gt;PARAMETROS!$C$33,"",MAX(E404+I404+J404-N404,0))</f>
        <v/>
      </c>
      <c r="Q404" s="22" t="str">
        <f aca="false">IF($A404&gt;PARAMETROS!$C$33,"",IF(P404&lt;=0,"AGOTADO","OK"))</f>
        <v/>
      </c>
    </row>
    <row r="405" customFormat="false" ht="15" hidden="false" customHeight="false" outlineLevel="0" collapsed="false">
      <c r="A405" s="19" t="n">
        <f aca="false">A404+1</f>
        <v>403</v>
      </c>
      <c r="B405" s="19" t="n">
        <f aca="false">IF($A405="","",ROUNDUP($A405/12,0))</f>
        <v>34</v>
      </c>
      <c r="C405" s="19" t="n">
        <f aca="false">IF($A405="","",PARAMETROS!$C$6+INT(($A405-1)/12))</f>
        <v>98</v>
      </c>
      <c r="D405" s="19" t="n">
        <f aca="false">IF($A405="","",MOD($A405-1,12)+1)</f>
        <v>7</v>
      </c>
      <c r="E405" s="20" t="str">
        <f aca="false">IF($A405&gt;PARAMETROS!$C$33,"",P404)</f>
        <v/>
      </c>
      <c r="F405" s="21" t="str">
        <f aca="false">IF($A405&gt;PARAMETROS!$C$33,"",PARAMETROS!$C$38)</f>
        <v/>
      </c>
      <c r="G405" s="20" t="str">
        <f aca="false">IF($A405&gt;PARAMETROS!$C$33,"",E405*F405)</f>
        <v/>
      </c>
      <c r="H405" s="20" t="str">
        <f aca="false">IF($A405&gt;PARAMETROS!$C$33,"",E405*PARAMETROS!$C$39)</f>
        <v/>
      </c>
      <c r="I405" s="20" t="str">
        <f aca="false">IF($A405&gt;PARAMETROS!$C$33,"",G405-H405)</f>
        <v/>
      </c>
      <c r="J405" s="20" t="str">
        <f aca="false">IF($A405&gt;PARAMETROS!$C$33,"",PARAMETROS!$C$9*(1+PARAMETROS!$C$17)^(B405-1))</f>
        <v/>
      </c>
      <c r="K405" s="20" t="str">
        <f aca="false">IF($A405&gt;PARAMETROS!$C$33,"",K404*(1+PARAMETROS!$C$36))</f>
        <v/>
      </c>
      <c r="L405" s="20" t="str">
        <f aca="false">IF($A405&gt;PARAMETROS!$C$33,"",L404*(1+PARAMETROS!$C$37)*(1+M405))</f>
        <v/>
      </c>
      <c r="M405" s="21" t="str">
        <f aca="false">IF($A405&gt;PARAMETROS!$C$33,"",IF(C405&lt;70,PARAMETROS!$C$40,IF(C405&lt;75,PARAMETROS!$C$41,IF(C405&lt;80,PARAMETROS!$C$42,IF(C405&lt;85,PARAMETROS!$C$43,IF(C405&lt;90,PARAMETROS!$C$44,PARAMETROS!$C$45))))))</f>
        <v/>
      </c>
      <c r="N405" s="20" t="str">
        <f aca="false">IF($A405&gt;PARAMETROS!$C$33,"",K405+L405)</f>
        <v/>
      </c>
      <c r="O405" s="20" t="str">
        <f aca="false">IF($A405&gt;PARAMETROS!$C$33,"",I405+J405-N405)</f>
        <v/>
      </c>
      <c r="P405" s="20" t="str">
        <f aca="false">IF($A405&gt;PARAMETROS!$C$33,"",MAX(E405+I405+J405-N405,0))</f>
        <v/>
      </c>
      <c r="Q405" s="22" t="str">
        <f aca="false">IF($A405&gt;PARAMETROS!$C$33,"",IF(P405&lt;=0,"AGOTADO","OK"))</f>
        <v/>
      </c>
    </row>
    <row r="406" customFormat="false" ht="15" hidden="false" customHeight="false" outlineLevel="0" collapsed="false">
      <c r="A406" s="19" t="n">
        <f aca="false">A405+1</f>
        <v>404</v>
      </c>
      <c r="B406" s="19" t="n">
        <f aca="false">IF($A406="","",ROUNDUP($A406/12,0))</f>
        <v>34</v>
      </c>
      <c r="C406" s="19" t="n">
        <f aca="false">IF($A406="","",PARAMETROS!$C$6+INT(($A406-1)/12))</f>
        <v>98</v>
      </c>
      <c r="D406" s="19" t="n">
        <f aca="false">IF($A406="","",MOD($A406-1,12)+1)</f>
        <v>8</v>
      </c>
      <c r="E406" s="20" t="str">
        <f aca="false">IF($A406&gt;PARAMETROS!$C$33,"",P405)</f>
        <v/>
      </c>
      <c r="F406" s="21" t="str">
        <f aca="false">IF($A406&gt;PARAMETROS!$C$33,"",PARAMETROS!$C$38)</f>
        <v/>
      </c>
      <c r="G406" s="20" t="str">
        <f aca="false">IF($A406&gt;PARAMETROS!$C$33,"",E406*F406)</f>
        <v/>
      </c>
      <c r="H406" s="20" t="str">
        <f aca="false">IF($A406&gt;PARAMETROS!$C$33,"",E406*PARAMETROS!$C$39)</f>
        <v/>
      </c>
      <c r="I406" s="20" t="str">
        <f aca="false">IF($A406&gt;PARAMETROS!$C$33,"",G406-H406)</f>
        <v/>
      </c>
      <c r="J406" s="20" t="str">
        <f aca="false">IF($A406&gt;PARAMETROS!$C$33,"",PARAMETROS!$C$9*(1+PARAMETROS!$C$17)^(B406-1))</f>
        <v/>
      </c>
      <c r="K406" s="20" t="str">
        <f aca="false">IF($A406&gt;PARAMETROS!$C$33,"",K405*(1+PARAMETROS!$C$36))</f>
        <v/>
      </c>
      <c r="L406" s="20" t="str">
        <f aca="false">IF($A406&gt;PARAMETROS!$C$33,"",L405*(1+PARAMETROS!$C$37)*(1+M406))</f>
        <v/>
      </c>
      <c r="M406" s="21" t="str">
        <f aca="false">IF($A406&gt;PARAMETROS!$C$33,"",IF(C406&lt;70,PARAMETROS!$C$40,IF(C406&lt;75,PARAMETROS!$C$41,IF(C406&lt;80,PARAMETROS!$C$42,IF(C406&lt;85,PARAMETROS!$C$43,IF(C406&lt;90,PARAMETROS!$C$44,PARAMETROS!$C$45))))))</f>
        <v/>
      </c>
      <c r="N406" s="20" t="str">
        <f aca="false">IF($A406&gt;PARAMETROS!$C$33,"",K406+L406)</f>
        <v/>
      </c>
      <c r="O406" s="20" t="str">
        <f aca="false">IF($A406&gt;PARAMETROS!$C$33,"",I406+J406-N406)</f>
        <v/>
      </c>
      <c r="P406" s="20" t="str">
        <f aca="false">IF($A406&gt;PARAMETROS!$C$33,"",MAX(E406+I406+J406-N406,0))</f>
        <v/>
      </c>
      <c r="Q406" s="22" t="str">
        <f aca="false">IF($A406&gt;PARAMETROS!$C$33,"",IF(P406&lt;=0,"AGOTADO","OK"))</f>
        <v/>
      </c>
    </row>
    <row r="407" customFormat="false" ht="15" hidden="false" customHeight="false" outlineLevel="0" collapsed="false">
      <c r="A407" s="19" t="n">
        <f aca="false">A406+1</f>
        <v>405</v>
      </c>
      <c r="B407" s="19" t="n">
        <f aca="false">IF($A407="","",ROUNDUP($A407/12,0))</f>
        <v>34</v>
      </c>
      <c r="C407" s="19" t="n">
        <f aca="false">IF($A407="","",PARAMETROS!$C$6+INT(($A407-1)/12))</f>
        <v>98</v>
      </c>
      <c r="D407" s="19" t="n">
        <f aca="false">IF($A407="","",MOD($A407-1,12)+1)</f>
        <v>9</v>
      </c>
      <c r="E407" s="20" t="str">
        <f aca="false">IF($A407&gt;PARAMETROS!$C$33,"",P406)</f>
        <v/>
      </c>
      <c r="F407" s="21" t="str">
        <f aca="false">IF($A407&gt;PARAMETROS!$C$33,"",PARAMETROS!$C$38)</f>
        <v/>
      </c>
      <c r="G407" s="20" t="str">
        <f aca="false">IF($A407&gt;PARAMETROS!$C$33,"",E407*F407)</f>
        <v/>
      </c>
      <c r="H407" s="20" t="str">
        <f aca="false">IF($A407&gt;PARAMETROS!$C$33,"",E407*PARAMETROS!$C$39)</f>
        <v/>
      </c>
      <c r="I407" s="20" t="str">
        <f aca="false">IF($A407&gt;PARAMETROS!$C$33,"",G407-H407)</f>
        <v/>
      </c>
      <c r="J407" s="20" t="str">
        <f aca="false">IF($A407&gt;PARAMETROS!$C$33,"",PARAMETROS!$C$9*(1+PARAMETROS!$C$17)^(B407-1))</f>
        <v/>
      </c>
      <c r="K407" s="20" t="str">
        <f aca="false">IF($A407&gt;PARAMETROS!$C$33,"",K406*(1+PARAMETROS!$C$36))</f>
        <v/>
      </c>
      <c r="L407" s="20" t="str">
        <f aca="false">IF($A407&gt;PARAMETROS!$C$33,"",L406*(1+PARAMETROS!$C$37)*(1+M407))</f>
        <v/>
      </c>
      <c r="M407" s="21" t="str">
        <f aca="false">IF($A407&gt;PARAMETROS!$C$33,"",IF(C407&lt;70,PARAMETROS!$C$40,IF(C407&lt;75,PARAMETROS!$C$41,IF(C407&lt;80,PARAMETROS!$C$42,IF(C407&lt;85,PARAMETROS!$C$43,IF(C407&lt;90,PARAMETROS!$C$44,PARAMETROS!$C$45))))))</f>
        <v/>
      </c>
      <c r="N407" s="20" t="str">
        <f aca="false">IF($A407&gt;PARAMETROS!$C$33,"",K407+L407)</f>
        <v/>
      </c>
      <c r="O407" s="20" t="str">
        <f aca="false">IF($A407&gt;PARAMETROS!$C$33,"",I407+J407-N407)</f>
        <v/>
      </c>
      <c r="P407" s="20" t="str">
        <f aca="false">IF($A407&gt;PARAMETROS!$C$33,"",MAX(E407+I407+J407-N407,0))</f>
        <v/>
      </c>
      <c r="Q407" s="22" t="str">
        <f aca="false">IF($A407&gt;PARAMETROS!$C$33,"",IF(P407&lt;=0,"AGOTADO","OK"))</f>
        <v/>
      </c>
    </row>
    <row r="408" customFormat="false" ht="15" hidden="false" customHeight="false" outlineLevel="0" collapsed="false">
      <c r="A408" s="19" t="n">
        <f aca="false">A407+1</f>
        <v>406</v>
      </c>
      <c r="B408" s="19" t="n">
        <f aca="false">IF($A408="","",ROUNDUP($A408/12,0))</f>
        <v>34</v>
      </c>
      <c r="C408" s="19" t="n">
        <f aca="false">IF($A408="","",PARAMETROS!$C$6+INT(($A408-1)/12))</f>
        <v>98</v>
      </c>
      <c r="D408" s="19" t="n">
        <f aca="false">IF($A408="","",MOD($A408-1,12)+1)</f>
        <v>10</v>
      </c>
      <c r="E408" s="20" t="str">
        <f aca="false">IF($A408&gt;PARAMETROS!$C$33,"",P407)</f>
        <v/>
      </c>
      <c r="F408" s="21" t="str">
        <f aca="false">IF($A408&gt;PARAMETROS!$C$33,"",PARAMETROS!$C$38)</f>
        <v/>
      </c>
      <c r="G408" s="20" t="str">
        <f aca="false">IF($A408&gt;PARAMETROS!$C$33,"",E408*F408)</f>
        <v/>
      </c>
      <c r="H408" s="20" t="str">
        <f aca="false">IF($A408&gt;PARAMETROS!$C$33,"",E408*PARAMETROS!$C$39)</f>
        <v/>
      </c>
      <c r="I408" s="20" t="str">
        <f aca="false">IF($A408&gt;PARAMETROS!$C$33,"",G408-H408)</f>
        <v/>
      </c>
      <c r="J408" s="20" t="str">
        <f aca="false">IF($A408&gt;PARAMETROS!$C$33,"",PARAMETROS!$C$9*(1+PARAMETROS!$C$17)^(B408-1))</f>
        <v/>
      </c>
      <c r="K408" s="20" t="str">
        <f aca="false">IF($A408&gt;PARAMETROS!$C$33,"",K407*(1+PARAMETROS!$C$36))</f>
        <v/>
      </c>
      <c r="L408" s="20" t="str">
        <f aca="false">IF($A408&gt;PARAMETROS!$C$33,"",L407*(1+PARAMETROS!$C$37)*(1+M408))</f>
        <v/>
      </c>
      <c r="M408" s="21" t="str">
        <f aca="false">IF($A408&gt;PARAMETROS!$C$33,"",IF(C408&lt;70,PARAMETROS!$C$40,IF(C408&lt;75,PARAMETROS!$C$41,IF(C408&lt;80,PARAMETROS!$C$42,IF(C408&lt;85,PARAMETROS!$C$43,IF(C408&lt;90,PARAMETROS!$C$44,PARAMETROS!$C$45))))))</f>
        <v/>
      </c>
      <c r="N408" s="20" t="str">
        <f aca="false">IF($A408&gt;PARAMETROS!$C$33,"",K408+L408)</f>
        <v/>
      </c>
      <c r="O408" s="20" t="str">
        <f aca="false">IF($A408&gt;PARAMETROS!$C$33,"",I408+J408-N408)</f>
        <v/>
      </c>
      <c r="P408" s="20" t="str">
        <f aca="false">IF($A408&gt;PARAMETROS!$C$33,"",MAX(E408+I408+J408-N408,0))</f>
        <v/>
      </c>
      <c r="Q408" s="22" t="str">
        <f aca="false">IF($A408&gt;PARAMETROS!$C$33,"",IF(P408&lt;=0,"AGOTADO","OK"))</f>
        <v/>
      </c>
    </row>
    <row r="409" customFormat="false" ht="15" hidden="false" customHeight="false" outlineLevel="0" collapsed="false">
      <c r="A409" s="19" t="n">
        <f aca="false">A408+1</f>
        <v>407</v>
      </c>
      <c r="B409" s="19" t="n">
        <f aca="false">IF($A409="","",ROUNDUP($A409/12,0))</f>
        <v>34</v>
      </c>
      <c r="C409" s="19" t="n">
        <f aca="false">IF($A409="","",PARAMETROS!$C$6+INT(($A409-1)/12))</f>
        <v>98</v>
      </c>
      <c r="D409" s="19" t="n">
        <f aca="false">IF($A409="","",MOD($A409-1,12)+1)</f>
        <v>11</v>
      </c>
      <c r="E409" s="20" t="str">
        <f aca="false">IF($A409&gt;PARAMETROS!$C$33,"",P408)</f>
        <v/>
      </c>
      <c r="F409" s="21" t="str">
        <f aca="false">IF($A409&gt;PARAMETROS!$C$33,"",PARAMETROS!$C$38)</f>
        <v/>
      </c>
      <c r="G409" s="20" t="str">
        <f aca="false">IF($A409&gt;PARAMETROS!$C$33,"",E409*F409)</f>
        <v/>
      </c>
      <c r="H409" s="20" t="str">
        <f aca="false">IF($A409&gt;PARAMETROS!$C$33,"",E409*PARAMETROS!$C$39)</f>
        <v/>
      </c>
      <c r="I409" s="20" t="str">
        <f aca="false">IF($A409&gt;PARAMETROS!$C$33,"",G409-H409)</f>
        <v/>
      </c>
      <c r="J409" s="20" t="str">
        <f aca="false">IF($A409&gt;PARAMETROS!$C$33,"",PARAMETROS!$C$9*(1+PARAMETROS!$C$17)^(B409-1))</f>
        <v/>
      </c>
      <c r="K409" s="20" t="str">
        <f aca="false">IF($A409&gt;PARAMETROS!$C$33,"",K408*(1+PARAMETROS!$C$36))</f>
        <v/>
      </c>
      <c r="L409" s="20" t="str">
        <f aca="false">IF($A409&gt;PARAMETROS!$C$33,"",L408*(1+PARAMETROS!$C$37)*(1+M409))</f>
        <v/>
      </c>
      <c r="M409" s="21" t="str">
        <f aca="false">IF($A409&gt;PARAMETROS!$C$33,"",IF(C409&lt;70,PARAMETROS!$C$40,IF(C409&lt;75,PARAMETROS!$C$41,IF(C409&lt;80,PARAMETROS!$C$42,IF(C409&lt;85,PARAMETROS!$C$43,IF(C409&lt;90,PARAMETROS!$C$44,PARAMETROS!$C$45))))))</f>
        <v/>
      </c>
      <c r="N409" s="20" t="str">
        <f aca="false">IF($A409&gt;PARAMETROS!$C$33,"",K409+L409)</f>
        <v/>
      </c>
      <c r="O409" s="20" t="str">
        <f aca="false">IF($A409&gt;PARAMETROS!$C$33,"",I409+J409-N409)</f>
        <v/>
      </c>
      <c r="P409" s="20" t="str">
        <f aca="false">IF($A409&gt;PARAMETROS!$C$33,"",MAX(E409+I409+J409-N409,0))</f>
        <v/>
      </c>
      <c r="Q409" s="22" t="str">
        <f aca="false">IF($A409&gt;PARAMETROS!$C$33,"",IF(P409&lt;=0,"AGOTADO","OK"))</f>
        <v/>
      </c>
    </row>
    <row r="410" customFormat="false" ht="15" hidden="false" customHeight="false" outlineLevel="0" collapsed="false">
      <c r="A410" s="19" t="n">
        <f aca="false">A409+1</f>
        <v>408</v>
      </c>
      <c r="B410" s="19" t="n">
        <f aca="false">IF($A410="","",ROUNDUP($A410/12,0))</f>
        <v>34</v>
      </c>
      <c r="C410" s="19" t="n">
        <f aca="false">IF($A410="","",PARAMETROS!$C$6+INT(($A410-1)/12))</f>
        <v>98</v>
      </c>
      <c r="D410" s="19" t="n">
        <f aca="false">IF($A410="","",MOD($A410-1,12)+1)</f>
        <v>12</v>
      </c>
      <c r="E410" s="20" t="str">
        <f aca="false">IF($A410&gt;PARAMETROS!$C$33,"",P409)</f>
        <v/>
      </c>
      <c r="F410" s="21" t="str">
        <f aca="false">IF($A410&gt;PARAMETROS!$C$33,"",PARAMETROS!$C$38)</f>
        <v/>
      </c>
      <c r="G410" s="20" t="str">
        <f aca="false">IF($A410&gt;PARAMETROS!$C$33,"",E410*F410)</f>
        <v/>
      </c>
      <c r="H410" s="20" t="str">
        <f aca="false">IF($A410&gt;PARAMETROS!$C$33,"",E410*PARAMETROS!$C$39)</f>
        <v/>
      </c>
      <c r="I410" s="20" t="str">
        <f aca="false">IF($A410&gt;PARAMETROS!$C$33,"",G410-H410)</f>
        <v/>
      </c>
      <c r="J410" s="20" t="str">
        <f aca="false">IF($A410&gt;PARAMETROS!$C$33,"",PARAMETROS!$C$9*(1+PARAMETROS!$C$17)^(B410-1))</f>
        <v/>
      </c>
      <c r="K410" s="20" t="str">
        <f aca="false">IF($A410&gt;PARAMETROS!$C$33,"",K409*(1+PARAMETROS!$C$36))</f>
        <v/>
      </c>
      <c r="L410" s="20" t="str">
        <f aca="false">IF($A410&gt;PARAMETROS!$C$33,"",L409*(1+PARAMETROS!$C$37)*(1+M410))</f>
        <v/>
      </c>
      <c r="M410" s="21" t="str">
        <f aca="false">IF($A410&gt;PARAMETROS!$C$33,"",IF(C410&lt;70,PARAMETROS!$C$40,IF(C410&lt;75,PARAMETROS!$C$41,IF(C410&lt;80,PARAMETROS!$C$42,IF(C410&lt;85,PARAMETROS!$C$43,IF(C410&lt;90,PARAMETROS!$C$44,PARAMETROS!$C$45))))))</f>
        <v/>
      </c>
      <c r="N410" s="20" t="str">
        <f aca="false">IF($A410&gt;PARAMETROS!$C$33,"",K410+L410)</f>
        <v/>
      </c>
      <c r="O410" s="20" t="str">
        <f aca="false">IF($A410&gt;PARAMETROS!$C$33,"",I410+J410-N410)</f>
        <v/>
      </c>
      <c r="P410" s="20" t="str">
        <f aca="false">IF($A410&gt;PARAMETROS!$C$33,"",MAX(E410+I410+J410-N410,0))</f>
        <v/>
      </c>
      <c r="Q410" s="22" t="str">
        <f aca="false">IF($A410&gt;PARAMETROS!$C$33,"",IF(P410&lt;=0,"AGOTADO","OK"))</f>
        <v/>
      </c>
    </row>
    <row r="411" customFormat="false" ht="15" hidden="false" customHeight="false" outlineLevel="0" collapsed="false">
      <c r="A411" s="15" t="n">
        <f aca="false">A410+1</f>
        <v>409</v>
      </c>
      <c r="B411" s="15" t="n">
        <f aca="false">IF($A411="","",ROUNDUP($A411/12,0))</f>
        <v>35</v>
      </c>
      <c r="C411" s="15" t="n">
        <f aca="false">IF($A411="","",PARAMETROS!$C$6+INT(($A411-1)/12))</f>
        <v>99</v>
      </c>
      <c r="D411" s="15" t="n">
        <f aca="false">IF($A411="","",MOD($A411-1,12)+1)</f>
        <v>1</v>
      </c>
      <c r="E411" s="16" t="str">
        <f aca="false">IF($A411&gt;PARAMETROS!$C$33,"",P410)</f>
        <v/>
      </c>
      <c r="F411" s="17" t="str">
        <f aca="false">IF($A411&gt;PARAMETROS!$C$33,"",PARAMETROS!$C$38)</f>
        <v/>
      </c>
      <c r="G411" s="16" t="str">
        <f aca="false">IF($A411&gt;PARAMETROS!$C$33,"",E411*F411)</f>
        <v/>
      </c>
      <c r="H411" s="16" t="str">
        <f aca="false">IF($A411&gt;PARAMETROS!$C$33,"",E411*PARAMETROS!$C$39)</f>
        <v/>
      </c>
      <c r="I411" s="16" t="str">
        <f aca="false">IF($A411&gt;PARAMETROS!$C$33,"",G411-H411)</f>
        <v/>
      </c>
      <c r="J411" s="16" t="str">
        <f aca="false">IF($A411&gt;PARAMETROS!$C$33,"",PARAMETROS!$C$9*(1+PARAMETROS!$C$17)^(B411-1))</f>
        <v/>
      </c>
      <c r="K411" s="16" t="str">
        <f aca="false">IF($A411&gt;PARAMETROS!$C$33,"",K410*(1+PARAMETROS!$C$36))</f>
        <v/>
      </c>
      <c r="L411" s="16" t="str">
        <f aca="false">IF($A411&gt;PARAMETROS!$C$33,"",L410*(1+PARAMETROS!$C$37)*(1+M411))</f>
        <v/>
      </c>
      <c r="M411" s="17" t="str">
        <f aca="false">IF($A411&gt;PARAMETROS!$C$33,"",IF(C411&lt;70,PARAMETROS!$C$40,IF(C411&lt;75,PARAMETROS!$C$41,IF(C411&lt;80,PARAMETROS!$C$42,IF(C411&lt;85,PARAMETROS!$C$43,IF(C411&lt;90,PARAMETROS!$C$44,PARAMETROS!$C$45))))))</f>
        <v/>
      </c>
      <c r="N411" s="16" t="str">
        <f aca="false">IF($A411&gt;PARAMETROS!$C$33,"",K411+L411)</f>
        <v/>
      </c>
      <c r="O411" s="16" t="str">
        <f aca="false">IF($A411&gt;PARAMETROS!$C$33,"",I411+J411-N411)</f>
        <v/>
      </c>
      <c r="P411" s="16" t="str">
        <f aca="false">IF($A411&gt;PARAMETROS!$C$33,"",MAX(E411+I411+J411-N411,0))</f>
        <v/>
      </c>
      <c r="Q411" s="18" t="str">
        <f aca="false">IF($A411&gt;PARAMETROS!$C$33,"",IF(P411&lt;=0,"AGOTADO","OK"))</f>
        <v/>
      </c>
    </row>
    <row r="412" customFormat="false" ht="15" hidden="false" customHeight="false" outlineLevel="0" collapsed="false">
      <c r="A412" s="15" t="n">
        <f aca="false">A411+1</f>
        <v>410</v>
      </c>
      <c r="B412" s="15" t="n">
        <f aca="false">IF($A412="","",ROUNDUP($A412/12,0))</f>
        <v>35</v>
      </c>
      <c r="C412" s="15" t="n">
        <f aca="false">IF($A412="","",PARAMETROS!$C$6+INT(($A412-1)/12))</f>
        <v>99</v>
      </c>
      <c r="D412" s="15" t="n">
        <f aca="false">IF($A412="","",MOD($A412-1,12)+1)</f>
        <v>2</v>
      </c>
      <c r="E412" s="16" t="str">
        <f aca="false">IF($A412&gt;PARAMETROS!$C$33,"",P411)</f>
        <v/>
      </c>
      <c r="F412" s="17" t="str">
        <f aca="false">IF($A412&gt;PARAMETROS!$C$33,"",PARAMETROS!$C$38)</f>
        <v/>
      </c>
      <c r="G412" s="16" t="str">
        <f aca="false">IF($A412&gt;PARAMETROS!$C$33,"",E412*F412)</f>
        <v/>
      </c>
      <c r="H412" s="16" t="str">
        <f aca="false">IF($A412&gt;PARAMETROS!$C$33,"",E412*PARAMETROS!$C$39)</f>
        <v/>
      </c>
      <c r="I412" s="16" t="str">
        <f aca="false">IF($A412&gt;PARAMETROS!$C$33,"",G412-H412)</f>
        <v/>
      </c>
      <c r="J412" s="16" t="str">
        <f aca="false">IF($A412&gt;PARAMETROS!$C$33,"",PARAMETROS!$C$9*(1+PARAMETROS!$C$17)^(B412-1))</f>
        <v/>
      </c>
      <c r="K412" s="16" t="str">
        <f aca="false">IF($A412&gt;PARAMETROS!$C$33,"",K411*(1+PARAMETROS!$C$36))</f>
        <v/>
      </c>
      <c r="L412" s="16" t="str">
        <f aca="false">IF($A412&gt;PARAMETROS!$C$33,"",L411*(1+PARAMETROS!$C$37)*(1+M412))</f>
        <v/>
      </c>
      <c r="M412" s="17" t="str">
        <f aca="false">IF($A412&gt;PARAMETROS!$C$33,"",IF(C412&lt;70,PARAMETROS!$C$40,IF(C412&lt;75,PARAMETROS!$C$41,IF(C412&lt;80,PARAMETROS!$C$42,IF(C412&lt;85,PARAMETROS!$C$43,IF(C412&lt;90,PARAMETROS!$C$44,PARAMETROS!$C$45))))))</f>
        <v/>
      </c>
      <c r="N412" s="16" t="str">
        <f aca="false">IF($A412&gt;PARAMETROS!$C$33,"",K412+L412)</f>
        <v/>
      </c>
      <c r="O412" s="16" t="str">
        <f aca="false">IF($A412&gt;PARAMETROS!$C$33,"",I412+J412-N412)</f>
        <v/>
      </c>
      <c r="P412" s="16" t="str">
        <f aca="false">IF($A412&gt;PARAMETROS!$C$33,"",MAX(E412+I412+J412-N412,0))</f>
        <v/>
      </c>
      <c r="Q412" s="18" t="str">
        <f aca="false">IF($A412&gt;PARAMETROS!$C$33,"",IF(P412&lt;=0,"AGOTADO","OK"))</f>
        <v/>
      </c>
    </row>
    <row r="413" customFormat="false" ht="15" hidden="false" customHeight="false" outlineLevel="0" collapsed="false">
      <c r="A413" s="15" t="n">
        <f aca="false">A412+1</f>
        <v>411</v>
      </c>
      <c r="B413" s="15" t="n">
        <f aca="false">IF($A413="","",ROUNDUP($A413/12,0))</f>
        <v>35</v>
      </c>
      <c r="C413" s="15" t="n">
        <f aca="false">IF($A413="","",PARAMETROS!$C$6+INT(($A413-1)/12))</f>
        <v>99</v>
      </c>
      <c r="D413" s="15" t="n">
        <f aca="false">IF($A413="","",MOD($A413-1,12)+1)</f>
        <v>3</v>
      </c>
      <c r="E413" s="16" t="str">
        <f aca="false">IF($A413&gt;PARAMETROS!$C$33,"",P412)</f>
        <v/>
      </c>
      <c r="F413" s="17" t="str">
        <f aca="false">IF($A413&gt;PARAMETROS!$C$33,"",PARAMETROS!$C$38)</f>
        <v/>
      </c>
      <c r="G413" s="16" t="str">
        <f aca="false">IF($A413&gt;PARAMETROS!$C$33,"",E413*F413)</f>
        <v/>
      </c>
      <c r="H413" s="16" t="str">
        <f aca="false">IF($A413&gt;PARAMETROS!$C$33,"",E413*PARAMETROS!$C$39)</f>
        <v/>
      </c>
      <c r="I413" s="16" t="str">
        <f aca="false">IF($A413&gt;PARAMETROS!$C$33,"",G413-H413)</f>
        <v/>
      </c>
      <c r="J413" s="16" t="str">
        <f aca="false">IF($A413&gt;PARAMETROS!$C$33,"",PARAMETROS!$C$9*(1+PARAMETROS!$C$17)^(B413-1))</f>
        <v/>
      </c>
      <c r="K413" s="16" t="str">
        <f aca="false">IF($A413&gt;PARAMETROS!$C$33,"",K412*(1+PARAMETROS!$C$36))</f>
        <v/>
      </c>
      <c r="L413" s="16" t="str">
        <f aca="false">IF($A413&gt;PARAMETROS!$C$33,"",L412*(1+PARAMETROS!$C$37)*(1+M413))</f>
        <v/>
      </c>
      <c r="M413" s="17" t="str">
        <f aca="false">IF($A413&gt;PARAMETROS!$C$33,"",IF(C413&lt;70,PARAMETROS!$C$40,IF(C413&lt;75,PARAMETROS!$C$41,IF(C413&lt;80,PARAMETROS!$C$42,IF(C413&lt;85,PARAMETROS!$C$43,IF(C413&lt;90,PARAMETROS!$C$44,PARAMETROS!$C$45))))))</f>
        <v/>
      </c>
      <c r="N413" s="16" t="str">
        <f aca="false">IF($A413&gt;PARAMETROS!$C$33,"",K413+L413)</f>
        <v/>
      </c>
      <c r="O413" s="16" t="str">
        <f aca="false">IF($A413&gt;PARAMETROS!$C$33,"",I413+J413-N413)</f>
        <v/>
      </c>
      <c r="P413" s="16" t="str">
        <f aca="false">IF($A413&gt;PARAMETROS!$C$33,"",MAX(E413+I413+J413-N413,0))</f>
        <v/>
      </c>
      <c r="Q413" s="18" t="str">
        <f aca="false">IF($A413&gt;PARAMETROS!$C$33,"",IF(P413&lt;=0,"AGOTADO","OK"))</f>
        <v/>
      </c>
    </row>
    <row r="414" customFormat="false" ht="15" hidden="false" customHeight="false" outlineLevel="0" collapsed="false">
      <c r="A414" s="15" t="n">
        <f aca="false">A413+1</f>
        <v>412</v>
      </c>
      <c r="B414" s="15" t="n">
        <f aca="false">IF($A414="","",ROUNDUP($A414/12,0))</f>
        <v>35</v>
      </c>
      <c r="C414" s="15" t="n">
        <f aca="false">IF($A414="","",PARAMETROS!$C$6+INT(($A414-1)/12))</f>
        <v>99</v>
      </c>
      <c r="D414" s="15" t="n">
        <f aca="false">IF($A414="","",MOD($A414-1,12)+1)</f>
        <v>4</v>
      </c>
      <c r="E414" s="16" t="str">
        <f aca="false">IF($A414&gt;PARAMETROS!$C$33,"",P413)</f>
        <v/>
      </c>
      <c r="F414" s="17" t="str">
        <f aca="false">IF($A414&gt;PARAMETROS!$C$33,"",PARAMETROS!$C$38)</f>
        <v/>
      </c>
      <c r="G414" s="16" t="str">
        <f aca="false">IF($A414&gt;PARAMETROS!$C$33,"",E414*F414)</f>
        <v/>
      </c>
      <c r="H414" s="16" t="str">
        <f aca="false">IF($A414&gt;PARAMETROS!$C$33,"",E414*PARAMETROS!$C$39)</f>
        <v/>
      </c>
      <c r="I414" s="16" t="str">
        <f aca="false">IF($A414&gt;PARAMETROS!$C$33,"",G414-H414)</f>
        <v/>
      </c>
      <c r="J414" s="16" t="str">
        <f aca="false">IF($A414&gt;PARAMETROS!$C$33,"",PARAMETROS!$C$9*(1+PARAMETROS!$C$17)^(B414-1))</f>
        <v/>
      </c>
      <c r="K414" s="16" t="str">
        <f aca="false">IF($A414&gt;PARAMETROS!$C$33,"",K413*(1+PARAMETROS!$C$36))</f>
        <v/>
      </c>
      <c r="L414" s="16" t="str">
        <f aca="false">IF($A414&gt;PARAMETROS!$C$33,"",L413*(1+PARAMETROS!$C$37)*(1+M414))</f>
        <v/>
      </c>
      <c r="M414" s="17" t="str">
        <f aca="false">IF($A414&gt;PARAMETROS!$C$33,"",IF(C414&lt;70,PARAMETROS!$C$40,IF(C414&lt;75,PARAMETROS!$C$41,IF(C414&lt;80,PARAMETROS!$C$42,IF(C414&lt;85,PARAMETROS!$C$43,IF(C414&lt;90,PARAMETROS!$C$44,PARAMETROS!$C$45))))))</f>
        <v/>
      </c>
      <c r="N414" s="16" t="str">
        <f aca="false">IF($A414&gt;PARAMETROS!$C$33,"",K414+L414)</f>
        <v/>
      </c>
      <c r="O414" s="16" t="str">
        <f aca="false">IF($A414&gt;PARAMETROS!$C$33,"",I414+J414-N414)</f>
        <v/>
      </c>
      <c r="P414" s="16" t="str">
        <f aca="false">IF($A414&gt;PARAMETROS!$C$33,"",MAX(E414+I414+J414-N414,0))</f>
        <v/>
      </c>
      <c r="Q414" s="18" t="str">
        <f aca="false">IF($A414&gt;PARAMETROS!$C$33,"",IF(P414&lt;=0,"AGOTADO","OK"))</f>
        <v/>
      </c>
    </row>
    <row r="415" customFormat="false" ht="15" hidden="false" customHeight="false" outlineLevel="0" collapsed="false">
      <c r="A415" s="15" t="n">
        <f aca="false">A414+1</f>
        <v>413</v>
      </c>
      <c r="B415" s="15" t="n">
        <f aca="false">IF($A415="","",ROUNDUP($A415/12,0))</f>
        <v>35</v>
      </c>
      <c r="C415" s="15" t="n">
        <f aca="false">IF($A415="","",PARAMETROS!$C$6+INT(($A415-1)/12))</f>
        <v>99</v>
      </c>
      <c r="D415" s="15" t="n">
        <f aca="false">IF($A415="","",MOD($A415-1,12)+1)</f>
        <v>5</v>
      </c>
      <c r="E415" s="16" t="str">
        <f aca="false">IF($A415&gt;PARAMETROS!$C$33,"",P414)</f>
        <v/>
      </c>
      <c r="F415" s="17" t="str">
        <f aca="false">IF($A415&gt;PARAMETROS!$C$33,"",PARAMETROS!$C$38)</f>
        <v/>
      </c>
      <c r="G415" s="16" t="str">
        <f aca="false">IF($A415&gt;PARAMETROS!$C$33,"",E415*F415)</f>
        <v/>
      </c>
      <c r="H415" s="16" t="str">
        <f aca="false">IF($A415&gt;PARAMETROS!$C$33,"",E415*PARAMETROS!$C$39)</f>
        <v/>
      </c>
      <c r="I415" s="16" t="str">
        <f aca="false">IF($A415&gt;PARAMETROS!$C$33,"",G415-H415)</f>
        <v/>
      </c>
      <c r="J415" s="16" t="str">
        <f aca="false">IF($A415&gt;PARAMETROS!$C$33,"",PARAMETROS!$C$9*(1+PARAMETROS!$C$17)^(B415-1))</f>
        <v/>
      </c>
      <c r="K415" s="16" t="str">
        <f aca="false">IF($A415&gt;PARAMETROS!$C$33,"",K414*(1+PARAMETROS!$C$36))</f>
        <v/>
      </c>
      <c r="L415" s="16" t="str">
        <f aca="false">IF($A415&gt;PARAMETROS!$C$33,"",L414*(1+PARAMETROS!$C$37)*(1+M415))</f>
        <v/>
      </c>
      <c r="M415" s="17" t="str">
        <f aca="false">IF($A415&gt;PARAMETROS!$C$33,"",IF(C415&lt;70,PARAMETROS!$C$40,IF(C415&lt;75,PARAMETROS!$C$41,IF(C415&lt;80,PARAMETROS!$C$42,IF(C415&lt;85,PARAMETROS!$C$43,IF(C415&lt;90,PARAMETROS!$C$44,PARAMETROS!$C$45))))))</f>
        <v/>
      </c>
      <c r="N415" s="16" t="str">
        <f aca="false">IF($A415&gt;PARAMETROS!$C$33,"",K415+L415)</f>
        <v/>
      </c>
      <c r="O415" s="16" t="str">
        <f aca="false">IF($A415&gt;PARAMETROS!$C$33,"",I415+J415-N415)</f>
        <v/>
      </c>
      <c r="P415" s="16" t="str">
        <f aca="false">IF($A415&gt;PARAMETROS!$C$33,"",MAX(E415+I415+J415-N415,0))</f>
        <v/>
      </c>
      <c r="Q415" s="18" t="str">
        <f aca="false">IF($A415&gt;PARAMETROS!$C$33,"",IF(P415&lt;=0,"AGOTADO","OK"))</f>
        <v/>
      </c>
    </row>
    <row r="416" customFormat="false" ht="15" hidden="false" customHeight="false" outlineLevel="0" collapsed="false">
      <c r="A416" s="15" t="n">
        <f aca="false">A415+1</f>
        <v>414</v>
      </c>
      <c r="B416" s="15" t="n">
        <f aca="false">IF($A416="","",ROUNDUP($A416/12,0))</f>
        <v>35</v>
      </c>
      <c r="C416" s="15" t="n">
        <f aca="false">IF($A416="","",PARAMETROS!$C$6+INT(($A416-1)/12))</f>
        <v>99</v>
      </c>
      <c r="D416" s="15" t="n">
        <f aca="false">IF($A416="","",MOD($A416-1,12)+1)</f>
        <v>6</v>
      </c>
      <c r="E416" s="16" t="str">
        <f aca="false">IF($A416&gt;PARAMETROS!$C$33,"",P415)</f>
        <v/>
      </c>
      <c r="F416" s="17" t="str">
        <f aca="false">IF($A416&gt;PARAMETROS!$C$33,"",PARAMETROS!$C$38)</f>
        <v/>
      </c>
      <c r="G416" s="16" t="str">
        <f aca="false">IF($A416&gt;PARAMETROS!$C$33,"",E416*F416)</f>
        <v/>
      </c>
      <c r="H416" s="16" t="str">
        <f aca="false">IF($A416&gt;PARAMETROS!$C$33,"",E416*PARAMETROS!$C$39)</f>
        <v/>
      </c>
      <c r="I416" s="16" t="str">
        <f aca="false">IF($A416&gt;PARAMETROS!$C$33,"",G416-H416)</f>
        <v/>
      </c>
      <c r="J416" s="16" t="str">
        <f aca="false">IF($A416&gt;PARAMETROS!$C$33,"",PARAMETROS!$C$9*(1+PARAMETROS!$C$17)^(B416-1))</f>
        <v/>
      </c>
      <c r="K416" s="16" t="str">
        <f aca="false">IF($A416&gt;PARAMETROS!$C$33,"",K415*(1+PARAMETROS!$C$36))</f>
        <v/>
      </c>
      <c r="L416" s="16" t="str">
        <f aca="false">IF($A416&gt;PARAMETROS!$C$33,"",L415*(1+PARAMETROS!$C$37)*(1+M416))</f>
        <v/>
      </c>
      <c r="M416" s="17" t="str">
        <f aca="false">IF($A416&gt;PARAMETROS!$C$33,"",IF(C416&lt;70,PARAMETROS!$C$40,IF(C416&lt;75,PARAMETROS!$C$41,IF(C416&lt;80,PARAMETROS!$C$42,IF(C416&lt;85,PARAMETROS!$C$43,IF(C416&lt;90,PARAMETROS!$C$44,PARAMETROS!$C$45))))))</f>
        <v/>
      </c>
      <c r="N416" s="16" t="str">
        <f aca="false">IF($A416&gt;PARAMETROS!$C$33,"",K416+L416)</f>
        <v/>
      </c>
      <c r="O416" s="16" t="str">
        <f aca="false">IF($A416&gt;PARAMETROS!$C$33,"",I416+J416-N416)</f>
        <v/>
      </c>
      <c r="P416" s="16" t="str">
        <f aca="false">IF($A416&gt;PARAMETROS!$C$33,"",MAX(E416+I416+J416-N416,0))</f>
        <v/>
      </c>
      <c r="Q416" s="18" t="str">
        <f aca="false">IF($A416&gt;PARAMETROS!$C$33,"",IF(P416&lt;=0,"AGOTADO","OK"))</f>
        <v/>
      </c>
    </row>
    <row r="417" customFormat="false" ht="15" hidden="false" customHeight="false" outlineLevel="0" collapsed="false">
      <c r="A417" s="15" t="n">
        <f aca="false">A416+1</f>
        <v>415</v>
      </c>
      <c r="B417" s="15" t="n">
        <f aca="false">IF($A417="","",ROUNDUP($A417/12,0))</f>
        <v>35</v>
      </c>
      <c r="C417" s="15" t="n">
        <f aca="false">IF($A417="","",PARAMETROS!$C$6+INT(($A417-1)/12))</f>
        <v>99</v>
      </c>
      <c r="D417" s="15" t="n">
        <f aca="false">IF($A417="","",MOD($A417-1,12)+1)</f>
        <v>7</v>
      </c>
      <c r="E417" s="16" t="str">
        <f aca="false">IF($A417&gt;PARAMETROS!$C$33,"",P416)</f>
        <v/>
      </c>
      <c r="F417" s="17" t="str">
        <f aca="false">IF($A417&gt;PARAMETROS!$C$33,"",PARAMETROS!$C$38)</f>
        <v/>
      </c>
      <c r="G417" s="16" t="str">
        <f aca="false">IF($A417&gt;PARAMETROS!$C$33,"",E417*F417)</f>
        <v/>
      </c>
      <c r="H417" s="16" t="str">
        <f aca="false">IF($A417&gt;PARAMETROS!$C$33,"",E417*PARAMETROS!$C$39)</f>
        <v/>
      </c>
      <c r="I417" s="16" t="str">
        <f aca="false">IF($A417&gt;PARAMETROS!$C$33,"",G417-H417)</f>
        <v/>
      </c>
      <c r="J417" s="16" t="str">
        <f aca="false">IF($A417&gt;PARAMETROS!$C$33,"",PARAMETROS!$C$9*(1+PARAMETROS!$C$17)^(B417-1))</f>
        <v/>
      </c>
      <c r="K417" s="16" t="str">
        <f aca="false">IF($A417&gt;PARAMETROS!$C$33,"",K416*(1+PARAMETROS!$C$36))</f>
        <v/>
      </c>
      <c r="L417" s="16" t="str">
        <f aca="false">IF($A417&gt;PARAMETROS!$C$33,"",L416*(1+PARAMETROS!$C$37)*(1+M417))</f>
        <v/>
      </c>
      <c r="M417" s="17" t="str">
        <f aca="false">IF($A417&gt;PARAMETROS!$C$33,"",IF(C417&lt;70,PARAMETROS!$C$40,IF(C417&lt;75,PARAMETROS!$C$41,IF(C417&lt;80,PARAMETROS!$C$42,IF(C417&lt;85,PARAMETROS!$C$43,IF(C417&lt;90,PARAMETROS!$C$44,PARAMETROS!$C$45))))))</f>
        <v/>
      </c>
      <c r="N417" s="16" t="str">
        <f aca="false">IF($A417&gt;PARAMETROS!$C$33,"",K417+L417)</f>
        <v/>
      </c>
      <c r="O417" s="16" t="str">
        <f aca="false">IF($A417&gt;PARAMETROS!$C$33,"",I417+J417-N417)</f>
        <v/>
      </c>
      <c r="P417" s="16" t="str">
        <f aca="false">IF($A417&gt;PARAMETROS!$C$33,"",MAX(E417+I417+J417-N417,0))</f>
        <v/>
      </c>
      <c r="Q417" s="18" t="str">
        <f aca="false">IF($A417&gt;PARAMETROS!$C$33,"",IF(P417&lt;=0,"AGOTADO","OK"))</f>
        <v/>
      </c>
    </row>
    <row r="418" customFormat="false" ht="15" hidden="false" customHeight="false" outlineLevel="0" collapsed="false">
      <c r="A418" s="15" t="n">
        <f aca="false">A417+1</f>
        <v>416</v>
      </c>
      <c r="B418" s="15" t="n">
        <f aca="false">IF($A418="","",ROUNDUP($A418/12,0))</f>
        <v>35</v>
      </c>
      <c r="C418" s="15" t="n">
        <f aca="false">IF($A418="","",PARAMETROS!$C$6+INT(($A418-1)/12))</f>
        <v>99</v>
      </c>
      <c r="D418" s="15" t="n">
        <f aca="false">IF($A418="","",MOD($A418-1,12)+1)</f>
        <v>8</v>
      </c>
      <c r="E418" s="16" t="str">
        <f aca="false">IF($A418&gt;PARAMETROS!$C$33,"",P417)</f>
        <v/>
      </c>
      <c r="F418" s="17" t="str">
        <f aca="false">IF($A418&gt;PARAMETROS!$C$33,"",PARAMETROS!$C$38)</f>
        <v/>
      </c>
      <c r="G418" s="16" t="str">
        <f aca="false">IF($A418&gt;PARAMETROS!$C$33,"",E418*F418)</f>
        <v/>
      </c>
      <c r="H418" s="16" t="str">
        <f aca="false">IF($A418&gt;PARAMETROS!$C$33,"",E418*PARAMETROS!$C$39)</f>
        <v/>
      </c>
      <c r="I418" s="16" t="str">
        <f aca="false">IF($A418&gt;PARAMETROS!$C$33,"",G418-H418)</f>
        <v/>
      </c>
      <c r="J418" s="16" t="str">
        <f aca="false">IF($A418&gt;PARAMETROS!$C$33,"",PARAMETROS!$C$9*(1+PARAMETROS!$C$17)^(B418-1))</f>
        <v/>
      </c>
      <c r="K418" s="16" t="str">
        <f aca="false">IF($A418&gt;PARAMETROS!$C$33,"",K417*(1+PARAMETROS!$C$36))</f>
        <v/>
      </c>
      <c r="L418" s="16" t="str">
        <f aca="false">IF($A418&gt;PARAMETROS!$C$33,"",L417*(1+PARAMETROS!$C$37)*(1+M418))</f>
        <v/>
      </c>
      <c r="M418" s="17" t="str">
        <f aca="false">IF($A418&gt;PARAMETROS!$C$33,"",IF(C418&lt;70,PARAMETROS!$C$40,IF(C418&lt;75,PARAMETROS!$C$41,IF(C418&lt;80,PARAMETROS!$C$42,IF(C418&lt;85,PARAMETROS!$C$43,IF(C418&lt;90,PARAMETROS!$C$44,PARAMETROS!$C$45))))))</f>
        <v/>
      </c>
      <c r="N418" s="16" t="str">
        <f aca="false">IF($A418&gt;PARAMETROS!$C$33,"",K418+L418)</f>
        <v/>
      </c>
      <c r="O418" s="16" t="str">
        <f aca="false">IF($A418&gt;PARAMETROS!$C$33,"",I418+J418-N418)</f>
        <v/>
      </c>
      <c r="P418" s="16" t="str">
        <f aca="false">IF($A418&gt;PARAMETROS!$C$33,"",MAX(E418+I418+J418-N418,0))</f>
        <v/>
      </c>
      <c r="Q418" s="18" t="str">
        <f aca="false">IF($A418&gt;PARAMETROS!$C$33,"",IF(P418&lt;=0,"AGOTADO","OK"))</f>
        <v/>
      </c>
    </row>
    <row r="419" customFormat="false" ht="15" hidden="false" customHeight="false" outlineLevel="0" collapsed="false">
      <c r="A419" s="15" t="n">
        <f aca="false">A418+1</f>
        <v>417</v>
      </c>
      <c r="B419" s="15" t="n">
        <f aca="false">IF($A419="","",ROUNDUP($A419/12,0))</f>
        <v>35</v>
      </c>
      <c r="C419" s="15" t="n">
        <f aca="false">IF($A419="","",PARAMETROS!$C$6+INT(($A419-1)/12))</f>
        <v>99</v>
      </c>
      <c r="D419" s="15" t="n">
        <f aca="false">IF($A419="","",MOD($A419-1,12)+1)</f>
        <v>9</v>
      </c>
      <c r="E419" s="16" t="str">
        <f aca="false">IF($A419&gt;PARAMETROS!$C$33,"",P418)</f>
        <v/>
      </c>
      <c r="F419" s="17" t="str">
        <f aca="false">IF($A419&gt;PARAMETROS!$C$33,"",PARAMETROS!$C$38)</f>
        <v/>
      </c>
      <c r="G419" s="16" t="str">
        <f aca="false">IF($A419&gt;PARAMETROS!$C$33,"",E419*F419)</f>
        <v/>
      </c>
      <c r="H419" s="16" t="str">
        <f aca="false">IF($A419&gt;PARAMETROS!$C$33,"",E419*PARAMETROS!$C$39)</f>
        <v/>
      </c>
      <c r="I419" s="16" t="str">
        <f aca="false">IF($A419&gt;PARAMETROS!$C$33,"",G419-H419)</f>
        <v/>
      </c>
      <c r="J419" s="16" t="str">
        <f aca="false">IF($A419&gt;PARAMETROS!$C$33,"",PARAMETROS!$C$9*(1+PARAMETROS!$C$17)^(B419-1))</f>
        <v/>
      </c>
      <c r="K419" s="16" t="str">
        <f aca="false">IF($A419&gt;PARAMETROS!$C$33,"",K418*(1+PARAMETROS!$C$36))</f>
        <v/>
      </c>
      <c r="L419" s="16" t="str">
        <f aca="false">IF($A419&gt;PARAMETROS!$C$33,"",L418*(1+PARAMETROS!$C$37)*(1+M419))</f>
        <v/>
      </c>
      <c r="M419" s="17" t="str">
        <f aca="false">IF($A419&gt;PARAMETROS!$C$33,"",IF(C419&lt;70,PARAMETROS!$C$40,IF(C419&lt;75,PARAMETROS!$C$41,IF(C419&lt;80,PARAMETROS!$C$42,IF(C419&lt;85,PARAMETROS!$C$43,IF(C419&lt;90,PARAMETROS!$C$44,PARAMETROS!$C$45))))))</f>
        <v/>
      </c>
      <c r="N419" s="16" t="str">
        <f aca="false">IF($A419&gt;PARAMETROS!$C$33,"",K419+L419)</f>
        <v/>
      </c>
      <c r="O419" s="16" t="str">
        <f aca="false">IF($A419&gt;PARAMETROS!$C$33,"",I419+J419-N419)</f>
        <v/>
      </c>
      <c r="P419" s="16" t="str">
        <f aca="false">IF($A419&gt;PARAMETROS!$C$33,"",MAX(E419+I419+J419-N419,0))</f>
        <v/>
      </c>
      <c r="Q419" s="18" t="str">
        <f aca="false">IF($A419&gt;PARAMETROS!$C$33,"",IF(P419&lt;=0,"AGOTADO","OK"))</f>
        <v/>
      </c>
    </row>
    <row r="420" customFormat="false" ht="15" hidden="false" customHeight="false" outlineLevel="0" collapsed="false">
      <c r="A420" s="15" t="n">
        <f aca="false">A419+1</f>
        <v>418</v>
      </c>
      <c r="B420" s="15" t="n">
        <f aca="false">IF($A420="","",ROUNDUP($A420/12,0))</f>
        <v>35</v>
      </c>
      <c r="C420" s="15" t="n">
        <f aca="false">IF($A420="","",PARAMETROS!$C$6+INT(($A420-1)/12))</f>
        <v>99</v>
      </c>
      <c r="D420" s="15" t="n">
        <f aca="false">IF($A420="","",MOD($A420-1,12)+1)</f>
        <v>10</v>
      </c>
      <c r="E420" s="16" t="str">
        <f aca="false">IF($A420&gt;PARAMETROS!$C$33,"",P419)</f>
        <v/>
      </c>
      <c r="F420" s="17" t="str">
        <f aca="false">IF($A420&gt;PARAMETROS!$C$33,"",PARAMETROS!$C$38)</f>
        <v/>
      </c>
      <c r="G420" s="16" t="str">
        <f aca="false">IF($A420&gt;PARAMETROS!$C$33,"",E420*F420)</f>
        <v/>
      </c>
      <c r="H420" s="16" t="str">
        <f aca="false">IF($A420&gt;PARAMETROS!$C$33,"",E420*PARAMETROS!$C$39)</f>
        <v/>
      </c>
      <c r="I420" s="16" t="str">
        <f aca="false">IF($A420&gt;PARAMETROS!$C$33,"",G420-H420)</f>
        <v/>
      </c>
      <c r="J420" s="16" t="str">
        <f aca="false">IF($A420&gt;PARAMETROS!$C$33,"",PARAMETROS!$C$9*(1+PARAMETROS!$C$17)^(B420-1))</f>
        <v/>
      </c>
      <c r="K420" s="16" t="str">
        <f aca="false">IF($A420&gt;PARAMETROS!$C$33,"",K419*(1+PARAMETROS!$C$36))</f>
        <v/>
      </c>
      <c r="L420" s="16" t="str">
        <f aca="false">IF($A420&gt;PARAMETROS!$C$33,"",L419*(1+PARAMETROS!$C$37)*(1+M420))</f>
        <v/>
      </c>
      <c r="M420" s="17" t="str">
        <f aca="false">IF($A420&gt;PARAMETROS!$C$33,"",IF(C420&lt;70,PARAMETROS!$C$40,IF(C420&lt;75,PARAMETROS!$C$41,IF(C420&lt;80,PARAMETROS!$C$42,IF(C420&lt;85,PARAMETROS!$C$43,IF(C420&lt;90,PARAMETROS!$C$44,PARAMETROS!$C$45))))))</f>
        <v/>
      </c>
      <c r="N420" s="16" t="str">
        <f aca="false">IF($A420&gt;PARAMETROS!$C$33,"",K420+L420)</f>
        <v/>
      </c>
      <c r="O420" s="16" t="str">
        <f aca="false">IF($A420&gt;PARAMETROS!$C$33,"",I420+J420-N420)</f>
        <v/>
      </c>
      <c r="P420" s="16" t="str">
        <f aca="false">IF($A420&gt;PARAMETROS!$C$33,"",MAX(E420+I420+J420-N420,0))</f>
        <v/>
      </c>
      <c r="Q420" s="18" t="str">
        <f aca="false">IF($A420&gt;PARAMETROS!$C$33,"",IF(P420&lt;=0,"AGOTADO","OK"))</f>
        <v/>
      </c>
    </row>
    <row r="421" customFormat="false" ht="15" hidden="false" customHeight="false" outlineLevel="0" collapsed="false">
      <c r="A421" s="15" t="n">
        <f aca="false">A420+1</f>
        <v>419</v>
      </c>
      <c r="B421" s="15" t="n">
        <f aca="false">IF($A421="","",ROUNDUP($A421/12,0))</f>
        <v>35</v>
      </c>
      <c r="C421" s="15" t="n">
        <f aca="false">IF($A421="","",PARAMETROS!$C$6+INT(($A421-1)/12))</f>
        <v>99</v>
      </c>
      <c r="D421" s="15" t="n">
        <f aca="false">IF($A421="","",MOD($A421-1,12)+1)</f>
        <v>11</v>
      </c>
      <c r="E421" s="16" t="str">
        <f aca="false">IF($A421&gt;PARAMETROS!$C$33,"",P420)</f>
        <v/>
      </c>
      <c r="F421" s="17" t="str">
        <f aca="false">IF($A421&gt;PARAMETROS!$C$33,"",PARAMETROS!$C$38)</f>
        <v/>
      </c>
      <c r="G421" s="16" t="str">
        <f aca="false">IF($A421&gt;PARAMETROS!$C$33,"",E421*F421)</f>
        <v/>
      </c>
      <c r="H421" s="16" t="str">
        <f aca="false">IF($A421&gt;PARAMETROS!$C$33,"",E421*PARAMETROS!$C$39)</f>
        <v/>
      </c>
      <c r="I421" s="16" t="str">
        <f aca="false">IF($A421&gt;PARAMETROS!$C$33,"",G421-H421)</f>
        <v/>
      </c>
      <c r="J421" s="16" t="str">
        <f aca="false">IF($A421&gt;PARAMETROS!$C$33,"",PARAMETROS!$C$9*(1+PARAMETROS!$C$17)^(B421-1))</f>
        <v/>
      </c>
      <c r="K421" s="16" t="str">
        <f aca="false">IF($A421&gt;PARAMETROS!$C$33,"",K420*(1+PARAMETROS!$C$36))</f>
        <v/>
      </c>
      <c r="L421" s="16" t="str">
        <f aca="false">IF($A421&gt;PARAMETROS!$C$33,"",L420*(1+PARAMETROS!$C$37)*(1+M421))</f>
        <v/>
      </c>
      <c r="M421" s="17" t="str">
        <f aca="false">IF($A421&gt;PARAMETROS!$C$33,"",IF(C421&lt;70,PARAMETROS!$C$40,IF(C421&lt;75,PARAMETROS!$C$41,IF(C421&lt;80,PARAMETROS!$C$42,IF(C421&lt;85,PARAMETROS!$C$43,IF(C421&lt;90,PARAMETROS!$C$44,PARAMETROS!$C$45))))))</f>
        <v/>
      </c>
      <c r="N421" s="16" t="str">
        <f aca="false">IF($A421&gt;PARAMETROS!$C$33,"",K421+L421)</f>
        <v/>
      </c>
      <c r="O421" s="16" t="str">
        <f aca="false">IF($A421&gt;PARAMETROS!$C$33,"",I421+J421-N421)</f>
        <v/>
      </c>
      <c r="P421" s="16" t="str">
        <f aca="false">IF($A421&gt;PARAMETROS!$C$33,"",MAX(E421+I421+J421-N421,0))</f>
        <v/>
      </c>
      <c r="Q421" s="18" t="str">
        <f aca="false">IF($A421&gt;PARAMETROS!$C$33,"",IF(P421&lt;=0,"AGOTADO","OK"))</f>
        <v/>
      </c>
    </row>
    <row r="422" customFormat="false" ht="15" hidden="false" customHeight="false" outlineLevel="0" collapsed="false">
      <c r="A422" s="15" t="n">
        <f aca="false">A421+1</f>
        <v>420</v>
      </c>
      <c r="B422" s="15" t="n">
        <f aca="false">IF($A422="","",ROUNDUP($A422/12,0))</f>
        <v>35</v>
      </c>
      <c r="C422" s="15" t="n">
        <f aca="false">IF($A422="","",PARAMETROS!$C$6+INT(($A422-1)/12))</f>
        <v>99</v>
      </c>
      <c r="D422" s="15" t="n">
        <f aca="false">IF($A422="","",MOD($A422-1,12)+1)</f>
        <v>12</v>
      </c>
      <c r="E422" s="16" t="str">
        <f aca="false">IF($A422&gt;PARAMETROS!$C$33,"",P421)</f>
        <v/>
      </c>
      <c r="F422" s="17" t="str">
        <f aca="false">IF($A422&gt;PARAMETROS!$C$33,"",PARAMETROS!$C$38)</f>
        <v/>
      </c>
      <c r="G422" s="16" t="str">
        <f aca="false">IF($A422&gt;PARAMETROS!$C$33,"",E422*F422)</f>
        <v/>
      </c>
      <c r="H422" s="16" t="str">
        <f aca="false">IF($A422&gt;PARAMETROS!$C$33,"",E422*PARAMETROS!$C$39)</f>
        <v/>
      </c>
      <c r="I422" s="16" t="str">
        <f aca="false">IF($A422&gt;PARAMETROS!$C$33,"",G422-H422)</f>
        <v/>
      </c>
      <c r="J422" s="16" t="str">
        <f aca="false">IF($A422&gt;PARAMETROS!$C$33,"",PARAMETROS!$C$9*(1+PARAMETROS!$C$17)^(B422-1))</f>
        <v/>
      </c>
      <c r="K422" s="16" t="str">
        <f aca="false">IF($A422&gt;PARAMETROS!$C$33,"",K421*(1+PARAMETROS!$C$36))</f>
        <v/>
      </c>
      <c r="L422" s="16" t="str">
        <f aca="false">IF($A422&gt;PARAMETROS!$C$33,"",L421*(1+PARAMETROS!$C$37)*(1+M422))</f>
        <v/>
      </c>
      <c r="M422" s="17" t="str">
        <f aca="false">IF($A422&gt;PARAMETROS!$C$33,"",IF(C422&lt;70,PARAMETROS!$C$40,IF(C422&lt;75,PARAMETROS!$C$41,IF(C422&lt;80,PARAMETROS!$C$42,IF(C422&lt;85,PARAMETROS!$C$43,IF(C422&lt;90,PARAMETROS!$C$44,PARAMETROS!$C$45))))))</f>
        <v/>
      </c>
      <c r="N422" s="16" t="str">
        <f aca="false">IF($A422&gt;PARAMETROS!$C$33,"",K422+L422)</f>
        <v/>
      </c>
      <c r="O422" s="16" t="str">
        <f aca="false">IF($A422&gt;PARAMETROS!$C$33,"",I422+J422-N422)</f>
        <v/>
      </c>
      <c r="P422" s="16" t="str">
        <f aca="false">IF($A422&gt;PARAMETROS!$C$33,"",MAX(E422+I422+J422-N422,0))</f>
        <v/>
      </c>
      <c r="Q422" s="18" t="str">
        <f aca="false">IF($A422&gt;PARAMETROS!$C$33,"",IF(P422&lt;=0,"AGOTADO","OK"))</f>
        <v/>
      </c>
    </row>
    <row r="423" customFormat="false" ht="15" hidden="false" customHeight="false" outlineLevel="0" collapsed="false">
      <c r="A423" s="19" t="n">
        <f aca="false">A422+1</f>
        <v>421</v>
      </c>
      <c r="B423" s="19" t="n">
        <f aca="false">IF($A423="","",ROUNDUP($A423/12,0))</f>
        <v>36</v>
      </c>
      <c r="C423" s="19" t="n">
        <f aca="false">IF($A423="","",PARAMETROS!$C$6+INT(($A423-1)/12))</f>
        <v>100</v>
      </c>
      <c r="D423" s="19" t="n">
        <f aca="false">IF($A423="","",MOD($A423-1,12)+1)</f>
        <v>1</v>
      </c>
      <c r="E423" s="20" t="str">
        <f aca="false">IF($A423&gt;PARAMETROS!$C$33,"",P422)</f>
        <v/>
      </c>
      <c r="F423" s="21" t="str">
        <f aca="false">IF($A423&gt;PARAMETROS!$C$33,"",PARAMETROS!$C$38)</f>
        <v/>
      </c>
      <c r="G423" s="20" t="str">
        <f aca="false">IF($A423&gt;PARAMETROS!$C$33,"",E423*F423)</f>
        <v/>
      </c>
      <c r="H423" s="20" t="str">
        <f aca="false">IF($A423&gt;PARAMETROS!$C$33,"",E423*PARAMETROS!$C$39)</f>
        <v/>
      </c>
      <c r="I423" s="20" t="str">
        <f aca="false">IF($A423&gt;PARAMETROS!$C$33,"",G423-H423)</f>
        <v/>
      </c>
      <c r="J423" s="20" t="str">
        <f aca="false">IF($A423&gt;PARAMETROS!$C$33,"",PARAMETROS!$C$9*(1+PARAMETROS!$C$17)^(B423-1))</f>
        <v/>
      </c>
      <c r="K423" s="20" t="str">
        <f aca="false">IF($A423&gt;PARAMETROS!$C$33,"",K422*(1+PARAMETROS!$C$36))</f>
        <v/>
      </c>
      <c r="L423" s="20" t="str">
        <f aca="false">IF($A423&gt;PARAMETROS!$C$33,"",L422*(1+PARAMETROS!$C$37)*(1+M423))</f>
        <v/>
      </c>
      <c r="M423" s="21" t="str">
        <f aca="false">IF($A423&gt;PARAMETROS!$C$33,"",IF(C423&lt;70,PARAMETROS!$C$40,IF(C423&lt;75,PARAMETROS!$C$41,IF(C423&lt;80,PARAMETROS!$C$42,IF(C423&lt;85,PARAMETROS!$C$43,IF(C423&lt;90,PARAMETROS!$C$44,PARAMETROS!$C$45))))))</f>
        <v/>
      </c>
      <c r="N423" s="20" t="str">
        <f aca="false">IF($A423&gt;PARAMETROS!$C$33,"",K423+L423)</f>
        <v/>
      </c>
      <c r="O423" s="20" t="str">
        <f aca="false">IF($A423&gt;PARAMETROS!$C$33,"",I423+J423-N423)</f>
        <v/>
      </c>
      <c r="P423" s="20" t="str">
        <f aca="false">IF($A423&gt;PARAMETROS!$C$33,"",MAX(E423+I423+J423-N423,0))</f>
        <v/>
      </c>
      <c r="Q423" s="22" t="str">
        <f aca="false">IF($A423&gt;PARAMETROS!$C$33,"",IF(P423&lt;=0,"AGOTADO","OK"))</f>
        <v/>
      </c>
    </row>
    <row r="424" customFormat="false" ht="15" hidden="false" customHeight="false" outlineLevel="0" collapsed="false">
      <c r="A424" s="19" t="n">
        <f aca="false">A423+1</f>
        <v>422</v>
      </c>
      <c r="B424" s="19" t="n">
        <f aca="false">IF($A424="","",ROUNDUP($A424/12,0))</f>
        <v>36</v>
      </c>
      <c r="C424" s="19" t="n">
        <f aca="false">IF($A424="","",PARAMETROS!$C$6+INT(($A424-1)/12))</f>
        <v>100</v>
      </c>
      <c r="D424" s="19" t="n">
        <f aca="false">IF($A424="","",MOD($A424-1,12)+1)</f>
        <v>2</v>
      </c>
      <c r="E424" s="20" t="str">
        <f aca="false">IF($A424&gt;PARAMETROS!$C$33,"",P423)</f>
        <v/>
      </c>
      <c r="F424" s="21" t="str">
        <f aca="false">IF($A424&gt;PARAMETROS!$C$33,"",PARAMETROS!$C$38)</f>
        <v/>
      </c>
      <c r="G424" s="20" t="str">
        <f aca="false">IF($A424&gt;PARAMETROS!$C$33,"",E424*F424)</f>
        <v/>
      </c>
      <c r="H424" s="20" t="str">
        <f aca="false">IF($A424&gt;PARAMETROS!$C$33,"",E424*PARAMETROS!$C$39)</f>
        <v/>
      </c>
      <c r="I424" s="20" t="str">
        <f aca="false">IF($A424&gt;PARAMETROS!$C$33,"",G424-H424)</f>
        <v/>
      </c>
      <c r="J424" s="20" t="str">
        <f aca="false">IF($A424&gt;PARAMETROS!$C$33,"",PARAMETROS!$C$9*(1+PARAMETROS!$C$17)^(B424-1))</f>
        <v/>
      </c>
      <c r="K424" s="20" t="str">
        <f aca="false">IF($A424&gt;PARAMETROS!$C$33,"",K423*(1+PARAMETROS!$C$36))</f>
        <v/>
      </c>
      <c r="L424" s="20" t="str">
        <f aca="false">IF($A424&gt;PARAMETROS!$C$33,"",L423*(1+PARAMETROS!$C$37)*(1+M424))</f>
        <v/>
      </c>
      <c r="M424" s="21" t="str">
        <f aca="false">IF($A424&gt;PARAMETROS!$C$33,"",IF(C424&lt;70,PARAMETROS!$C$40,IF(C424&lt;75,PARAMETROS!$C$41,IF(C424&lt;80,PARAMETROS!$C$42,IF(C424&lt;85,PARAMETROS!$C$43,IF(C424&lt;90,PARAMETROS!$C$44,PARAMETROS!$C$45))))))</f>
        <v/>
      </c>
      <c r="N424" s="20" t="str">
        <f aca="false">IF($A424&gt;PARAMETROS!$C$33,"",K424+L424)</f>
        <v/>
      </c>
      <c r="O424" s="20" t="str">
        <f aca="false">IF($A424&gt;PARAMETROS!$C$33,"",I424+J424-N424)</f>
        <v/>
      </c>
      <c r="P424" s="20" t="str">
        <f aca="false">IF($A424&gt;PARAMETROS!$C$33,"",MAX(E424+I424+J424-N424,0))</f>
        <v/>
      </c>
      <c r="Q424" s="22" t="str">
        <f aca="false">IF($A424&gt;PARAMETROS!$C$33,"",IF(P424&lt;=0,"AGOTADO","OK"))</f>
        <v/>
      </c>
    </row>
    <row r="425" customFormat="false" ht="15" hidden="false" customHeight="false" outlineLevel="0" collapsed="false">
      <c r="A425" s="19" t="n">
        <f aca="false">A424+1</f>
        <v>423</v>
      </c>
      <c r="B425" s="19" t="n">
        <f aca="false">IF($A425="","",ROUNDUP($A425/12,0))</f>
        <v>36</v>
      </c>
      <c r="C425" s="19" t="n">
        <f aca="false">IF($A425="","",PARAMETROS!$C$6+INT(($A425-1)/12))</f>
        <v>100</v>
      </c>
      <c r="D425" s="19" t="n">
        <f aca="false">IF($A425="","",MOD($A425-1,12)+1)</f>
        <v>3</v>
      </c>
      <c r="E425" s="20" t="str">
        <f aca="false">IF($A425&gt;PARAMETROS!$C$33,"",P424)</f>
        <v/>
      </c>
      <c r="F425" s="21" t="str">
        <f aca="false">IF($A425&gt;PARAMETROS!$C$33,"",PARAMETROS!$C$38)</f>
        <v/>
      </c>
      <c r="G425" s="20" t="str">
        <f aca="false">IF($A425&gt;PARAMETROS!$C$33,"",E425*F425)</f>
        <v/>
      </c>
      <c r="H425" s="20" t="str">
        <f aca="false">IF($A425&gt;PARAMETROS!$C$33,"",E425*PARAMETROS!$C$39)</f>
        <v/>
      </c>
      <c r="I425" s="20" t="str">
        <f aca="false">IF($A425&gt;PARAMETROS!$C$33,"",G425-H425)</f>
        <v/>
      </c>
      <c r="J425" s="20" t="str">
        <f aca="false">IF($A425&gt;PARAMETROS!$C$33,"",PARAMETROS!$C$9*(1+PARAMETROS!$C$17)^(B425-1))</f>
        <v/>
      </c>
      <c r="K425" s="20" t="str">
        <f aca="false">IF($A425&gt;PARAMETROS!$C$33,"",K424*(1+PARAMETROS!$C$36))</f>
        <v/>
      </c>
      <c r="L425" s="20" t="str">
        <f aca="false">IF($A425&gt;PARAMETROS!$C$33,"",L424*(1+PARAMETROS!$C$37)*(1+M425))</f>
        <v/>
      </c>
      <c r="M425" s="21" t="str">
        <f aca="false">IF($A425&gt;PARAMETROS!$C$33,"",IF(C425&lt;70,PARAMETROS!$C$40,IF(C425&lt;75,PARAMETROS!$C$41,IF(C425&lt;80,PARAMETROS!$C$42,IF(C425&lt;85,PARAMETROS!$C$43,IF(C425&lt;90,PARAMETROS!$C$44,PARAMETROS!$C$45))))))</f>
        <v/>
      </c>
      <c r="N425" s="20" t="str">
        <f aca="false">IF($A425&gt;PARAMETROS!$C$33,"",K425+L425)</f>
        <v/>
      </c>
      <c r="O425" s="20" t="str">
        <f aca="false">IF($A425&gt;PARAMETROS!$C$33,"",I425+J425-N425)</f>
        <v/>
      </c>
      <c r="P425" s="20" t="str">
        <f aca="false">IF($A425&gt;PARAMETROS!$C$33,"",MAX(E425+I425+J425-N425,0))</f>
        <v/>
      </c>
      <c r="Q425" s="22" t="str">
        <f aca="false">IF($A425&gt;PARAMETROS!$C$33,"",IF(P425&lt;=0,"AGOTADO","OK"))</f>
        <v/>
      </c>
    </row>
    <row r="426" customFormat="false" ht="15" hidden="false" customHeight="false" outlineLevel="0" collapsed="false">
      <c r="A426" s="19" t="n">
        <f aca="false">A425+1</f>
        <v>424</v>
      </c>
      <c r="B426" s="19" t="n">
        <f aca="false">IF($A426="","",ROUNDUP($A426/12,0))</f>
        <v>36</v>
      </c>
      <c r="C426" s="19" t="n">
        <f aca="false">IF($A426="","",PARAMETROS!$C$6+INT(($A426-1)/12))</f>
        <v>100</v>
      </c>
      <c r="D426" s="19" t="n">
        <f aca="false">IF($A426="","",MOD($A426-1,12)+1)</f>
        <v>4</v>
      </c>
      <c r="E426" s="20" t="str">
        <f aca="false">IF($A426&gt;PARAMETROS!$C$33,"",P425)</f>
        <v/>
      </c>
      <c r="F426" s="21" t="str">
        <f aca="false">IF($A426&gt;PARAMETROS!$C$33,"",PARAMETROS!$C$38)</f>
        <v/>
      </c>
      <c r="G426" s="20" t="str">
        <f aca="false">IF($A426&gt;PARAMETROS!$C$33,"",E426*F426)</f>
        <v/>
      </c>
      <c r="H426" s="20" t="str">
        <f aca="false">IF($A426&gt;PARAMETROS!$C$33,"",E426*PARAMETROS!$C$39)</f>
        <v/>
      </c>
      <c r="I426" s="20" t="str">
        <f aca="false">IF($A426&gt;PARAMETROS!$C$33,"",G426-H426)</f>
        <v/>
      </c>
      <c r="J426" s="20" t="str">
        <f aca="false">IF($A426&gt;PARAMETROS!$C$33,"",PARAMETROS!$C$9*(1+PARAMETROS!$C$17)^(B426-1))</f>
        <v/>
      </c>
      <c r="K426" s="20" t="str">
        <f aca="false">IF($A426&gt;PARAMETROS!$C$33,"",K425*(1+PARAMETROS!$C$36))</f>
        <v/>
      </c>
      <c r="L426" s="20" t="str">
        <f aca="false">IF($A426&gt;PARAMETROS!$C$33,"",L425*(1+PARAMETROS!$C$37)*(1+M426))</f>
        <v/>
      </c>
      <c r="M426" s="21" t="str">
        <f aca="false">IF($A426&gt;PARAMETROS!$C$33,"",IF(C426&lt;70,PARAMETROS!$C$40,IF(C426&lt;75,PARAMETROS!$C$41,IF(C426&lt;80,PARAMETROS!$C$42,IF(C426&lt;85,PARAMETROS!$C$43,IF(C426&lt;90,PARAMETROS!$C$44,PARAMETROS!$C$45))))))</f>
        <v/>
      </c>
      <c r="N426" s="20" t="str">
        <f aca="false">IF($A426&gt;PARAMETROS!$C$33,"",K426+L426)</f>
        <v/>
      </c>
      <c r="O426" s="20" t="str">
        <f aca="false">IF($A426&gt;PARAMETROS!$C$33,"",I426+J426-N426)</f>
        <v/>
      </c>
      <c r="P426" s="20" t="str">
        <f aca="false">IF($A426&gt;PARAMETROS!$C$33,"",MAX(E426+I426+J426-N426,0))</f>
        <v/>
      </c>
      <c r="Q426" s="22" t="str">
        <f aca="false">IF($A426&gt;PARAMETROS!$C$33,"",IF(P426&lt;=0,"AGOTADO","OK"))</f>
        <v/>
      </c>
    </row>
    <row r="427" customFormat="false" ht="15" hidden="false" customHeight="false" outlineLevel="0" collapsed="false">
      <c r="A427" s="19" t="n">
        <f aca="false">A426+1</f>
        <v>425</v>
      </c>
      <c r="B427" s="19" t="n">
        <f aca="false">IF($A427="","",ROUNDUP($A427/12,0))</f>
        <v>36</v>
      </c>
      <c r="C427" s="19" t="n">
        <f aca="false">IF($A427="","",PARAMETROS!$C$6+INT(($A427-1)/12))</f>
        <v>100</v>
      </c>
      <c r="D427" s="19" t="n">
        <f aca="false">IF($A427="","",MOD($A427-1,12)+1)</f>
        <v>5</v>
      </c>
      <c r="E427" s="20" t="str">
        <f aca="false">IF($A427&gt;PARAMETROS!$C$33,"",P426)</f>
        <v/>
      </c>
      <c r="F427" s="21" t="str">
        <f aca="false">IF($A427&gt;PARAMETROS!$C$33,"",PARAMETROS!$C$38)</f>
        <v/>
      </c>
      <c r="G427" s="20" t="str">
        <f aca="false">IF($A427&gt;PARAMETROS!$C$33,"",E427*F427)</f>
        <v/>
      </c>
      <c r="H427" s="20" t="str">
        <f aca="false">IF($A427&gt;PARAMETROS!$C$33,"",E427*PARAMETROS!$C$39)</f>
        <v/>
      </c>
      <c r="I427" s="20" t="str">
        <f aca="false">IF($A427&gt;PARAMETROS!$C$33,"",G427-H427)</f>
        <v/>
      </c>
      <c r="J427" s="20" t="str">
        <f aca="false">IF($A427&gt;PARAMETROS!$C$33,"",PARAMETROS!$C$9*(1+PARAMETROS!$C$17)^(B427-1))</f>
        <v/>
      </c>
      <c r="K427" s="20" t="str">
        <f aca="false">IF($A427&gt;PARAMETROS!$C$33,"",K426*(1+PARAMETROS!$C$36))</f>
        <v/>
      </c>
      <c r="L427" s="20" t="str">
        <f aca="false">IF($A427&gt;PARAMETROS!$C$33,"",L426*(1+PARAMETROS!$C$37)*(1+M427))</f>
        <v/>
      </c>
      <c r="M427" s="21" t="str">
        <f aca="false">IF($A427&gt;PARAMETROS!$C$33,"",IF(C427&lt;70,PARAMETROS!$C$40,IF(C427&lt;75,PARAMETROS!$C$41,IF(C427&lt;80,PARAMETROS!$C$42,IF(C427&lt;85,PARAMETROS!$C$43,IF(C427&lt;90,PARAMETROS!$C$44,PARAMETROS!$C$45))))))</f>
        <v/>
      </c>
      <c r="N427" s="20" t="str">
        <f aca="false">IF($A427&gt;PARAMETROS!$C$33,"",K427+L427)</f>
        <v/>
      </c>
      <c r="O427" s="20" t="str">
        <f aca="false">IF($A427&gt;PARAMETROS!$C$33,"",I427+J427-N427)</f>
        <v/>
      </c>
      <c r="P427" s="20" t="str">
        <f aca="false">IF($A427&gt;PARAMETROS!$C$33,"",MAX(E427+I427+J427-N427,0))</f>
        <v/>
      </c>
      <c r="Q427" s="22" t="str">
        <f aca="false">IF($A427&gt;PARAMETROS!$C$33,"",IF(P427&lt;=0,"AGOTADO","OK"))</f>
        <v/>
      </c>
    </row>
    <row r="428" customFormat="false" ht="15" hidden="false" customHeight="false" outlineLevel="0" collapsed="false">
      <c r="A428" s="19" t="n">
        <f aca="false">A427+1</f>
        <v>426</v>
      </c>
      <c r="B428" s="19" t="n">
        <f aca="false">IF($A428="","",ROUNDUP($A428/12,0))</f>
        <v>36</v>
      </c>
      <c r="C428" s="19" t="n">
        <f aca="false">IF($A428="","",PARAMETROS!$C$6+INT(($A428-1)/12))</f>
        <v>100</v>
      </c>
      <c r="D428" s="19" t="n">
        <f aca="false">IF($A428="","",MOD($A428-1,12)+1)</f>
        <v>6</v>
      </c>
      <c r="E428" s="20" t="str">
        <f aca="false">IF($A428&gt;PARAMETROS!$C$33,"",P427)</f>
        <v/>
      </c>
      <c r="F428" s="21" t="str">
        <f aca="false">IF($A428&gt;PARAMETROS!$C$33,"",PARAMETROS!$C$38)</f>
        <v/>
      </c>
      <c r="G428" s="20" t="str">
        <f aca="false">IF($A428&gt;PARAMETROS!$C$33,"",E428*F428)</f>
        <v/>
      </c>
      <c r="H428" s="20" t="str">
        <f aca="false">IF($A428&gt;PARAMETROS!$C$33,"",E428*PARAMETROS!$C$39)</f>
        <v/>
      </c>
      <c r="I428" s="20" t="str">
        <f aca="false">IF($A428&gt;PARAMETROS!$C$33,"",G428-H428)</f>
        <v/>
      </c>
      <c r="J428" s="20" t="str">
        <f aca="false">IF($A428&gt;PARAMETROS!$C$33,"",PARAMETROS!$C$9*(1+PARAMETROS!$C$17)^(B428-1))</f>
        <v/>
      </c>
      <c r="K428" s="20" t="str">
        <f aca="false">IF($A428&gt;PARAMETROS!$C$33,"",K427*(1+PARAMETROS!$C$36))</f>
        <v/>
      </c>
      <c r="L428" s="20" t="str">
        <f aca="false">IF($A428&gt;PARAMETROS!$C$33,"",L427*(1+PARAMETROS!$C$37)*(1+M428))</f>
        <v/>
      </c>
      <c r="M428" s="21" t="str">
        <f aca="false">IF($A428&gt;PARAMETROS!$C$33,"",IF(C428&lt;70,PARAMETROS!$C$40,IF(C428&lt;75,PARAMETROS!$C$41,IF(C428&lt;80,PARAMETROS!$C$42,IF(C428&lt;85,PARAMETROS!$C$43,IF(C428&lt;90,PARAMETROS!$C$44,PARAMETROS!$C$45))))))</f>
        <v/>
      </c>
      <c r="N428" s="20" t="str">
        <f aca="false">IF($A428&gt;PARAMETROS!$C$33,"",K428+L428)</f>
        <v/>
      </c>
      <c r="O428" s="20" t="str">
        <f aca="false">IF($A428&gt;PARAMETROS!$C$33,"",I428+J428-N428)</f>
        <v/>
      </c>
      <c r="P428" s="20" t="str">
        <f aca="false">IF($A428&gt;PARAMETROS!$C$33,"",MAX(E428+I428+J428-N428,0))</f>
        <v/>
      </c>
      <c r="Q428" s="22" t="str">
        <f aca="false">IF($A428&gt;PARAMETROS!$C$33,"",IF(P428&lt;=0,"AGOTADO","OK"))</f>
        <v/>
      </c>
    </row>
    <row r="429" customFormat="false" ht="15" hidden="false" customHeight="false" outlineLevel="0" collapsed="false">
      <c r="A429" s="19" t="n">
        <f aca="false">A428+1</f>
        <v>427</v>
      </c>
      <c r="B429" s="19" t="n">
        <f aca="false">IF($A429="","",ROUNDUP($A429/12,0))</f>
        <v>36</v>
      </c>
      <c r="C429" s="19" t="n">
        <f aca="false">IF($A429="","",PARAMETROS!$C$6+INT(($A429-1)/12))</f>
        <v>100</v>
      </c>
      <c r="D429" s="19" t="n">
        <f aca="false">IF($A429="","",MOD($A429-1,12)+1)</f>
        <v>7</v>
      </c>
      <c r="E429" s="20" t="str">
        <f aca="false">IF($A429&gt;PARAMETROS!$C$33,"",P428)</f>
        <v/>
      </c>
      <c r="F429" s="21" t="str">
        <f aca="false">IF($A429&gt;PARAMETROS!$C$33,"",PARAMETROS!$C$38)</f>
        <v/>
      </c>
      <c r="G429" s="20" t="str">
        <f aca="false">IF($A429&gt;PARAMETROS!$C$33,"",E429*F429)</f>
        <v/>
      </c>
      <c r="H429" s="20" t="str">
        <f aca="false">IF($A429&gt;PARAMETROS!$C$33,"",E429*PARAMETROS!$C$39)</f>
        <v/>
      </c>
      <c r="I429" s="20" t="str">
        <f aca="false">IF($A429&gt;PARAMETROS!$C$33,"",G429-H429)</f>
        <v/>
      </c>
      <c r="J429" s="20" t="str">
        <f aca="false">IF($A429&gt;PARAMETROS!$C$33,"",PARAMETROS!$C$9*(1+PARAMETROS!$C$17)^(B429-1))</f>
        <v/>
      </c>
      <c r="K429" s="20" t="str">
        <f aca="false">IF($A429&gt;PARAMETROS!$C$33,"",K428*(1+PARAMETROS!$C$36))</f>
        <v/>
      </c>
      <c r="L429" s="20" t="str">
        <f aca="false">IF($A429&gt;PARAMETROS!$C$33,"",L428*(1+PARAMETROS!$C$37)*(1+M429))</f>
        <v/>
      </c>
      <c r="M429" s="21" t="str">
        <f aca="false">IF($A429&gt;PARAMETROS!$C$33,"",IF(C429&lt;70,PARAMETROS!$C$40,IF(C429&lt;75,PARAMETROS!$C$41,IF(C429&lt;80,PARAMETROS!$C$42,IF(C429&lt;85,PARAMETROS!$C$43,IF(C429&lt;90,PARAMETROS!$C$44,PARAMETROS!$C$45))))))</f>
        <v/>
      </c>
      <c r="N429" s="20" t="str">
        <f aca="false">IF($A429&gt;PARAMETROS!$C$33,"",K429+L429)</f>
        <v/>
      </c>
      <c r="O429" s="20" t="str">
        <f aca="false">IF($A429&gt;PARAMETROS!$C$33,"",I429+J429-N429)</f>
        <v/>
      </c>
      <c r="P429" s="20" t="str">
        <f aca="false">IF($A429&gt;PARAMETROS!$C$33,"",MAX(E429+I429+J429-N429,0))</f>
        <v/>
      </c>
      <c r="Q429" s="22" t="str">
        <f aca="false">IF($A429&gt;PARAMETROS!$C$33,"",IF(P429&lt;=0,"AGOTADO","OK"))</f>
        <v/>
      </c>
    </row>
    <row r="430" customFormat="false" ht="15" hidden="false" customHeight="false" outlineLevel="0" collapsed="false">
      <c r="A430" s="19" t="n">
        <f aca="false">A429+1</f>
        <v>428</v>
      </c>
      <c r="B430" s="19" t="n">
        <f aca="false">IF($A430="","",ROUNDUP($A430/12,0))</f>
        <v>36</v>
      </c>
      <c r="C430" s="19" t="n">
        <f aca="false">IF($A430="","",PARAMETROS!$C$6+INT(($A430-1)/12))</f>
        <v>100</v>
      </c>
      <c r="D430" s="19" t="n">
        <f aca="false">IF($A430="","",MOD($A430-1,12)+1)</f>
        <v>8</v>
      </c>
      <c r="E430" s="20" t="str">
        <f aca="false">IF($A430&gt;PARAMETROS!$C$33,"",P429)</f>
        <v/>
      </c>
      <c r="F430" s="21" t="str">
        <f aca="false">IF($A430&gt;PARAMETROS!$C$33,"",PARAMETROS!$C$38)</f>
        <v/>
      </c>
      <c r="G430" s="20" t="str">
        <f aca="false">IF($A430&gt;PARAMETROS!$C$33,"",E430*F430)</f>
        <v/>
      </c>
      <c r="H430" s="20" t="str">
        <f aca="false">IF($A430&gt;PARAMETROS!$C$33,"",E430*PARAMETROS!$C$39)</f>
        <v/>
      </c>
      <c r="I430" s="20" t="str">
        <f aca="false">IF($A430&gt;PARAMETROS!$C$33,"",G430-H430)</f>
        <v/>
      </c>
      <c r="J430" s="20" t="str">
        <f aca="false">IF($A430&gt;PARAMETROS!$C$33,"",PARAMETROS!$C$9*(1+PARAMETROS!$C$17)^(B430-1))</f>
        <v/>
      </c>
      <c r="K430" s="20" t="str">
        <f aca="false">IF($A430&gt;PARAMETROS!$C$33,"",K429*(1+PARAMETROS!$C$36))</f>
        <v/>
      </c>
      <c r="L430" s="20" t="str">
        <f aca="false">IF($A430&gt;PARAMETROS!$C$33,"",L429*(1+PARAMETROS!$C$37)*(1+M430))</f>
        <v/>
      </c>
      <c r="M430" s="21" t="str">
        <f aca="false">IF($A430&gt;PARAMETROS!$C$33,"",IF(C430&lt;70,PARAMETROS!$C$40,IF(C430&lt;75,PARAMETROS!$C$41,IF(C430&lt;80,PARAMETROS!$C$42,IF(C430&lt;85,PARAMETROS!$C$43,IF(C430&lt;90,PARAMETROS!$C$44,PARAMETROS!$C$45))))))</f>
        <v/>
      </c>
      <c r="N430" s="20" t="str">
        <f aca="false">IF($A430&gt;PARAMETROS!$C$33,"",K430+L430)</f>
        <v/>
      </c>
      <c r="O430" s="20" t="str">
        <f aca="false">IF($A430&gt;PARAMETROS!$C$33,"",I430+J430-N430)</f>
        <v/>
      </c>
      <c r="P430" s="20" t="str">
        <f aca="false">IF($A430&gt;PARAMETROS!$C$33,"",MAX(E430+I430+J430-N430,0))</f>
        <v/>
      </c>
      <c r="Q430" s="22" t="str">
        <f aca="false">IF($A430&gt;PARAMETROS!$C$33,"",IF(P430&lt;=0,"AGOTADO","OK"))</f>
        <v/>
      </c>
    </row>
    <row r="431" customFormat="false" ht="15" hidden="false" customHeight="false" outlineLevel="0" collapsed="false">
      <c r="A431" s="19" t="n">
        <f aca="false">A430+1</f>
        <v>429</v>
      </c>
      <c r="B431" s="19" t="n">
        <f aca="false">IF($A431="","",ROUNDUP($A431/12,0))</f>
        <v>36</v>
      </c>
      <c r="C431" s="19" t="n">
        <f aca="false">IF($A431="","",PARAMETROS!$C$6+INT(($A431-1)/12))</f>
        <v>100</v>
      </c>
      <c r="D431" s="19" t="n">
        <f aca="false">IF($A431="","",MOD($A431-1,12)+1)</f>
        <v>9</v>
      </c>
      <c r="E431" s="20" t="str">
        <f aca="false">IF($A431&gt;PARAMETROS!$C$33,"",P430)</f>
        <v/>
      </c>
      <c r="F431" s="21" t="str">
        <f aca="false">IF($A431&gt;PARAMETROS!$C$33,"",PARAMETROS!$C$38)</f>
        <v/>
      </c>
      <c r="G431" s="20" t="str">
        <f aca="false">IF($A431&gt;PARAMETROS!$C$33,"",E431*F431)</f>
        <v/>
      </c>
      <c r="H431" s="20" t="str">
        <f aca="false">IF($A431&gt;PARAMETROS!$C$33,"",E431*PARAMETROS!$C$39)</f>
        <v/>
      </c>
      <c r="I431" s="20" t="str">
        <f aca="false">IF($A431&gt;PARAMETROS!$C$33,"",G431-H431)</f>
        <v/>
      </c>
      <c r="J431" s="20" t="str">
        <f aca="false">IF($A431&gt;PARAMETROS!$C$33,"",PARAMETROS!$C$9*(1+PARAMETROS!$C$17)^(B431-1))</f>
        <v/>
      </c>
      <c r="K431" s="20" t="str">
        <f aca="false">IF($A431&gt;PARAMETROS!$C$33,"",K430*(1+PARAMETROS!$C$36))</f>
        <v/>
      </c>
      <c r="L431" s="20" t="str">
        <f aca="false">IF($A431&gt;PARAMETROS!$C$33,"",L430*(1+PARAMETROS!$C$37)*(1+M431))</f>
        <v/>
      </c>
      <c r="M431" s="21" t="str">
        <f aca="false">IF($A431&gt;PARAMETROS!$C$33,"",IF(C431&lt;70,PARAMETROS!$C$40,IF(C431&lt;75,PARAMETROS!$C$41,IF(C431&lt;80,PARAMETROS!$C$42,IF(C431&lt;85,PARAMETROS!$C$43,IF(C431&lt;90,PARAMETROS!$C$44,PARAMETROS!$C$45))))))</f>
        <v/>
      </c>
      <c r="N431" s="20" t="str">
        <f aca="false">IF($A431&gt;PARAMETROS!$C$33,"",K431+L431)</f>
        <v/>
      </c>
      <c r="O431" s="20" t="str">
        <f aca="false">IF($A431&gt;PARAMETROS!$C$33,"",I431+J431-N431)</f>
        <v/>
      </c>
      <c r="P431" s="20" t="str">
        <f aca="false">IF($A431&gt;PARAMETROS!$C$33,"",MAX(E431+I431+J431-N431,0))</f>
        <v/>
      </c>
      <c r="Q431" s="22" t="str">
        <f aca="false">IF($A431&gt;PARAMETROS!$C$33,"",IF(P431&lt;=0,"AGOTADO","OK"))</f>
        <v/>
      </c>
    </row>
    <row r="432" customFormat="false" ht="15" hidden="false" customHeight="false" outlineLevel="0" collapsed="false">
      <c r="A432" s="19" t="n">
        <f aca="false">A431+1</f>
        <v>430</v>
      </c>
      <c r="B432" s="19" t="n">
        <f aca="false">IF($A432="","",ROUNDUP($A432/12,0))</f>
        <v>36</v>
      </c>
      <c r="C432" s="19" t="n">
        <f aca="false">IF($A432="","",PARAMETROS!$C$6+INT(($A432-1)/12))</f>
        <v>100</v>
      </c>
      <c r="D432" s="19" t="n">
        <f aca="false">IF($A432="","",MOD($A432-1,12)+1)</f>
        <v>10</v>
      </c>
      <c r="E432" s="20" t="str">
        <f aca="false">IF($A432&gt;PARAMETROS!$C$33,"",P431)</f>
        <v/>
      </c>
      <c r="F432" s="21" t="str">
        <f aca="false">IF($A432&gt;PARAMETROS!$C$33,"",PARAMETROS!$C$38)</f>
        <v/>
      </c>
      <c r="G432" s="20" t="str">
        <f aca="false">IF($A432&gt;PARAMETROS!$C$33,"",E432*F432)</f>
        <v/>
      </c>
      <c r="H432" s="20" t="str">
        <f aca="false">IF($A432&gt;PARAMETROS!$C$33,"",E432*PARAMETROS!$C$39)</f>
        <v/>
      </c>
      <c r="I432" s="20" t="str">
        <f aca="false">IF($A432&gt;PARAMETROS!$C$33,"",G432-H432)</f>
        <v/>
      </c>
      <c r="J432" s="20" t="str">
        <f aca="false">IF($A432&gt;PARAMETROS!$C$33,"",PARAMETROS!$C$9*(1+PARAMETROS!$C$17)^(B432-1))</f>
        <v/>
      </c>
      <c r="K432" s="20" t="str">
        <f aca="false">IF($A432&gt;PARAMETROS!$C$33,"",K431*(1+PARAMETROS!$C$36))</f>
        <v/>
      </c>
      <c r="L432" s="20" t="str">
        <f aca="false">IF($A432&gt;PARAMETROS!$C$33,"",L431*(1+PARAMETROS!$C$37)*(1+M432))</f>
        <v/>
      </c>
      <c r="M432" s="21" t="str">
        <f aca="false">IF($A432&gt;PARAMETROS!$C$33,"",IF(C432&lt;70,PARAMETROS!$C$40,IF(C432&lt;75,PARAMETROS!$C$41,IF(C432&lt;80,PARAMETROS!$C$42,IF(C432&lt;85,PARAMETROS!$C$43,IF(C432&lt;90,PARAMETROS!$C$44,PARAMETROS!$C$45))))))</f>
        <v/>
      </c>
      <c r="N432" s="20" t="str">
        <f aca="false">IF($A432&gt;PARAMETROS!$C$33,"",K432+L432)</f>
        <v/>
      </c>
      <c r="O432" s="20" t="str">
        <f aca="false">IF($A432&gt;PARAMETROS!$C$33,"",I432+J432-N432)</f>
        <v/>
      </c>
      <c r="P432" s="20" t="str">
        <f aca="false">IF($A432&gt;PARAMETROS!$C$33,"",MAX(E432+I432+J432-N432,0))</f>
        <v/>
      </c>
      <c r="Q432" s="22" t="str">
        <f aca="false">IF($A432&gt;PARAMETROS!$C$33,"",IF(P432&lt;=0,"AGOTADO","OK"))</f>
        <v/>
      </c>
    </row>
    <row r="433" customFormat="false" ht="15" hidden="false" customHeight="false" outlineLevel="0" collapsed="false">
      <c r="A433" s="19" t="n">
        <f aca="false">A432+1</f>
        <v>431</v>
      </c>
      <c r="B433" s="19" t="n">
        <f aca="false">IF($A433="","",ROUNDUP($A433/12,0))</f>
        <v>36</v>
      </c>
      <c r="C433" s="19" t="n">
        <f aca="false">IF($A433="","",PARAMETROS!$C$6+INT(($A433-1)/12))</f>
        <v>100</v>
      </c>
      <c r="D433" s="19" t="n">
        <f aca="false">IF($A433="","",MOD($A433-1,12)+1)</f>
        <v>11</v>
      </c>
      <c r="E433" s="20" t="str">
        <f aca="false">IF($A433&gt;PARAMETROS!$C$33,"",P432)</f>
        <v/>
      </c>
      <c r="F433" s="21" t="str">
        <f aca="false">IF($A433&gt;PARAMETROS!$C$33,"",PARAMETROS!$C$38)</f>
        <v/>
      </c>
      <c r="G433" s="20" t="str">
        <f aca="false">IF($A433&gt;PARAMETROS!$C$33,"",E433*F433)</f>
        <v/>
      </c>
      <c r="H433" s="20" t="str">
        <f aca="false">IF($A433&gt;PARAMETROS!$C$33,"",E433*PARAMETROS!$C$39)</f>
        <v/>
      </c>
      <c r="I433" s="20" t="str">
        <f aca="false">IF($A433&gt;PARAMETROS!$C$33,"",G433-H433)</f>
        <v/>
      </c>
      <c r="J433" s="20" t="str">
        <f aca="false">IF($A433&gt;PARAMETROS!$C$33,"",PARAMETROS!$C$9*(1+PARAMETROS!$C$17)^(B433-1))</f>
        <v/>
      </c>
      <c r="K433" s="20" t="str">
        <f aca="false">IF($A433&gt;PARAMETROS!$C$33,"",K432*(1+PARAMETROS!$C$36))</f>
        <v/>
      </c>
      <c r="L433" s="20" t="str">
        <f aca="false">IF($A433&gt;PARAMETROS!$C$33,"",L432*(1+PARAMETROS!$C$37)*(1+M433))</f>
        <v/>
      </c>
      <c r="M433" s="21" t="str">
        <f aca="false">IF($A433&gt;PARAMETROS!$C$33,"",IF(C433&lt;70,PARAMETROS!$C$40,IF(C433&lt;75,PARAMETROS!$C$41,IF(C433&lt;80,PARAMETROS!$C$42,IF(C433&lt;85,PARAMETROS!$C$43,IF(C433&lt;90,PARAMETROS!$C$44,PARAMETROS!$C$45))))))</f>
        <v/>
      </c>
      <c r="N433" s="20" t="str">
        <f aca="false">IF($A433&gt;PARAMETROS!$C$33,"",K433+L433)</f>
        <v/>
      </c>
      <c r="O433" s="20" t="str">
        <f aca="false">IF($A433&gt;PARAMETROS!$C$33,"",I433+J433-N433)</f>
        <v/>
      </c>
      <c r="P433" s="20" t="str">
        <f aca="false">IF($A433&gt;PARAMETROS!$C$33,"",MAX(E433+I433+J433-N433,0))</f>
        <v/>
      </c>
      <c r="Q433" s="22" t="str">
        <f aca="false">IF($A433&gt;PARAMETROS!$C$33,"",IF(P433&lt;=0,"AGOTADO","OK"))</f>
        <v/>
      </c>
    </row>
    <row r="434" customFormat="false" ht="15" hidden="false" customHeight="false" outlineLevel="0" collapsed="false">
      <c r="A434" s="19" t="n">
        <f aca="false">A433+1</f>
        <v>432</v>
      </c>
      <c r="B434" s="19" t="n">
        <f aca="false">IF($A434="","",ROUNDUP($A434/12,0))</f>
        <v>36</v>
      </c>
      <c r="C434" s="19" t="n">
        <f aca="false">IF($A434="","",PARAMETROS!$C$6+INT(($A434-1)/12))</f>
        <v>100</v>
      </c>
      <c r="D434" s="19" t="n">
        <f aca="false">IF($A434="","",MOD($A434-1,12)+1)</f>
        <v>12</v>
      </c>
      <c r="E434" s="20" t="str">
        <f aca="false">IF($A434&gt;PARAMETROS!$C$33,"",P433)</f>
        <v/>
      </c>
      <c r="F434" s="21" t="str">
        <f aca="false">IF($A434&gt;PARAMETROS!$C$33,"",PARAMETROS!$C$38)</f>
        <v/>
      </c>
      <c r="G434" s="20" t="str">
        <f aca="false">IF($A434&gt;PARAMETROS!$C$33,"",E434*F434)</f>
        <v/>
      </c>
      <c r="H434" s="20" t="str">
        <f aca="false">IF($A434&gt;PARAMETROS!$C$33,"",E434*PARAMETROS!$C$39)</f>
        <v/>
      </c>
      <c r="I434" s="20" t="str">
        <f aca="false">IF($A434&gt;PARAMETROS!$C$33,"",G434-H434)</f>
        <v/>
      </c>
      <c r="J434" s="20" t="str">
        <f aca="false">IF($A434&gt;PARAMETROS!$C$33,"",PARAMETROS!$C$9*(1+PARAMETROS!$C$17)^(B434-1))</f>
        <v/>
      </c>
      <c r="K434" s="20" t="str">
        <f aca="false">IF($A434&gt;PARAMETROS!$C$33,"",K433*(1+PARAMETROS!$C$36))</f>
        <v/>
      </c>
      <c r="L434" s="20" t="str">
        <f aca="false">IF($A434&gt;PARAMETROS!$C$33,"",L433*(1+PARAMETROS!$C$37)*(1+M434))</f>
        <v/>
      </c>
      <c r="M434" s="21" t="str">
        <f aca="false">IF($A434&gt;PARAMETROS!$C$33,"",IF(C434&lt;70,PARAMETROS!$C$40,IF(C434&lt;75,PARAMETROS!$C$41,IF(C434&lt;80,PARAMETROS!$C$42,IF(C434&lt;85,PARAMETROS!$C$43,IF(C434&lt;90,PARAMETROS!$C$44,PARAMETROS!$C$45))))))</f>
        <v/>
      </c>
      <c r="N434" s="20" t="str">
        <f aca="false">IF($A434&gt;PARAMETROS!$C$33,"",K434+L434)</f>
        <v/>
      </c>
      <c r="O434" s="20" t="str">
        <f aca="false">IF($A434&gt;PARAMETROS!$C$33,"",I434+J434-N434)</f>
        <v/>
      </c>
      <c r="P434" s="20" t="str">
        <f aca="false">IF($A434&gt;PARAMETROS!$C$33,"",MAX(E434+I434+J434-N434,0))</f>
        <v/>
      </c>
      <c r="Q434" s="22" t="str">
        <f aca="false">IF($A434&gt;PARAMETROS!$C$33,"",IF(P434&lt;=0,"AGOTADO","OK"))</f>
        <v/>
      </c>
    </row>
    <row r="435" customFormat="false" ht="15" hidden="false" customHeight="false" outlineLevel="0" collapsed="false">
      <c r="A435" s="15" t="n">
        <f aca="false">A434+1</f>
        <v>433</v>
      </c>
      <c r="B435" s="15" t="n">
        <f aca="false">IF($A435="","",ROUNDUP($A435/12,0))</f>
        <v>37</v>
      </c>
      <c r="C435" s="15" t="n">
        <f aca="false">IF($A435="","",PARAMETROS!$C$6+INT(($A435-1)/12))</f>
        <v>101</v>
      </c>
      <c r="D435" s="15" t="n">
        <f aca="false">IF($A435="","",MOD($A435-1,12)+1)</f>
        <v>1</v>
      </c>
      <c r="E435" s="16" t="str">
        <f aca="false">IF($A435&gt;PARAMETROS!$C$33,"",P434)</f>
        <v/>
      </c>
      <c r="F435" s="17" t="str">
        <f aca="false">IF($A435&gt;PARAMETROS!$C$33,"",PARAMETROS!$C$38)</f>
        <v/>
      </c>
      <c r="G435" s="16" t="str">
        <f aca="false">IF($A435&gt;PARAMETROS!$C$33,"",E435*F435)</f>
        <v/>
      </c>
      <c r="H435" s="16" t="str">
        <f aca="false">IF($A435&gt;PARAMETROS!$C$33,"",E435*PARAMETROS!$C$39)</f>
        <v/>
      </c>
      <c r="I435" s="16" t="str">
        <f aca="false">IF($A435&gt;PARAMETROS!$C$33,"",G435-H435)</f>
        <v/>
      </c>
      <c r="J435" s="16" t="str">
        <f aca="false">IF($A435&gt;PARAMETROS!$C$33,"",PARAMETROS!$C$9*(1+PARAMETROS!$C$17)^(B435-1))</f>
        <v/>
      </c>
      <c r="K435" s="16" t="str">
        <f aca="false">IF($A435&gt;PARAMETROS!$C$33,"",K434*(1+PARAMETROS!$C$36))</f>
        <v/>
      </c>
      <c r="L435" s="16" t="str">
        <f aca="false">IF($A435&gt;PARAMETROS!$C$33,"",L434*(1+PARAMETROS!$C$37)*(1+M435))</f>
        <v/>
      </c>
      <c r="M435" s="17" t="str">
        <f aca="false">IF($A435&gt;PARAMETROS!$C$33,"",IF(C435&lt;70,PARAMETROS!$C$40,IF(C435&lt;75,PARAMETROS!$C$41,IF(C435&lt;80,PARAMETROS!$C$42,IF(C435&lt;85,PARAMETROS!$C$43,IF(C435&lt;90,PARAMETROS!$C$44,PARAMETROS!$C$45))))))</f>
        <v/>
      </c>
      <c r="N435" s="16" t="str">
        <f aca="false">IF($A435&gt;PARAMETROS!$C$33,"",K435+L435)</f>
        <v/>
      </c>
      <c r="O435" s="16" t="str">
        <f aca="false">IF($A435&gt;PARAMETROS!$C$33,"",I435+J435-N435)</f>
        <v/>
      </c>
      <c r="P435" s="16" t="str">
        <f aca="false">IF($A435&gt;PARAMETROS!$C$33,"",MAX(E435+I435+J435-N435,0))</f>
        <v/>
      </c>
      <c r="Q435" s="18" t="str">
        <f aca="false">IF($A435&gt;PARAMETROS!$C$33,"",IF(P435&lt;=0,"AGOTADO","OK"))</f>
        <v/>
      </c>
    </row>
    <row r="436" customFormat="false" ht="15" hidden="false" customHeight="false" outlineLevel="0" collapsed="false">
      <c r="A436" s="15" t="n">
        <f aca="false">A435+1</f>
        <v>434</v>
      </c>
      <c r="B436" s="15" t="n">
        <f aca="false">IF($A436="","",ROUNDUP($A436/12,0))</f>
        <v>37</v>
      </c>
      <c r="C436" s="15" t="n">
        <f aca="false">IF($A436="","",PARAMETROS!$C$6+INT(($A436-1)/12))</f>
        <v>101</v>
      </c>
      <c r="D436" s="15" t="n">
        <f aca="false">IF($A436="","",MOD($A436-1,12)+1)</f>
        <v>2</v>
      </c>
      <c r="E436" s="16" t="str">
        <f aca="false">IF($A436&gt;PARAMETROS!$C$33,"",P435)</f>
        <v/>
      </c>
      <c r="F436" s="17" t="str">
        <f aca="false">IF($A436&gt;PARAMETROS!$C$33,"",PARAMETROS!$C$38)</f>
        <v/>
      </c>
      <c r="G436" s="16" t="str">
        <f aca="false">IF($A436&gt;PARAMETROS!$C$33,"",E436*F436)</f>
        <v/>
      </c>
      <c r="H436" s="16" t="str">
        <f aca="false">IF($A436&gt;PARAMETROS!$C$33,"",E436*PARAMETROS!$C$39)</f>
        <v/>
      </c>
      <c r="I436" s="16" t="str">
        <f aca="false">IF($A436&gt;PARAMETROS!$C$33,"",G436-H436)</f>
        <v/>
      </c>
      <c r="J436" s="16" t="str">
        <f aca="false">IF($A436&gt;PARAMETROS!$C$33,"",PARAMETROS!$C$9*(1+PARAMETROS!$C$17)^(B436-1))</f>
        <v/>
      </c>
      <c r="K436" s="16" t="str">
        <f aca="false">IF($A436&gt;PARAMETROS!$C$33,"",K435*(1+PARAMETROS!$C$36))</f>
        <v/>
      </c>
      <c r="L436" s="16" t="str">
        <f aca="false">IF($A436&gt;PARAMETROS!$C$33,"",L435*(1+PARAMETROS!$C$37)*(1+M436))</f>
        <v/>
      </c>
      <c r="M436" s="17" t="str">
        <f aca="false">IF($A436&gt;PARAMETROS!$C$33,"",IF(C436&lt;70,PARAMETROS!$C$40,IF(C436&lt;75,PARAMETROS!$C$41,IF(C436&lt;80,PARAMETROS!$C$42,IF(C436&lt;85,PARAMETROS!$C$43,IF(C436&lt;90,PARAMETROS!$C$44,PARAMETROS!$C$45))))))</f>
        <v/>
      </c>
      <c r="N436" s="16" t="str">
        <f aca="false">IF($A436&gt;PARAMETROS!$C$33,"",K436+L436)</f>
        <v/>
      </c>
      <c r="O436" s="16" t="str">
        <f aca="false">IF($A436&gt;PARAMETROS!$C$33,"",I436+J436-N436)</f>
        <v/>
      </c>
      <c r="P436" s="16" t="str">
        <f aca="false">IF($A436&gt;PARAMETROS!$C$33,"",MAX(E436+I436+J436-N436,0))</f>
        <v/>
      </c>
      <c r="Q436" s="18" t="str">
        <f aca="false">IF($A436&gt;PARAMETROS!$C$33,"",IF(P436&lt;=0,"AGOTADO","OK"))</f>
        <v/>
      </c>
    </row>
    <row r="437" customFormat="false" ht="15" hidden="false" customHeight="false" outlineLevel="0" collapsed="false">
      <c r="A437" s="15" t="n">
        <f aca="false">A436+1</f>
        <v>435</v>
      </c>
      <c r="B437" s="15" t="n">
        <f aca="false">IF($A437="","",ROUNDUP($A437/12,0))</f>
        <v>37</v>
      </c>
      <c r="C437" s="15" t="n">
        <f aca="false">IF($A437="","",PARAMETROS!$C$6+INT(($A437-1)/12))</f>
        <v>101</v>
      </c>
      <c r="D437" s="15" t="n">
        <f aca="false">IF($A437="","",MOD($A437-1,12)+1)</f>
        <v>3</v>
      </c>
      <c r="E437" s="16" t="str">
        <f aca="false">IF($A437&gt;PARAMETROS!$C$33,"",P436)</f>
        <v/>
      </c>
      <c r="F437" s="17" t="str">
        <f aca="false">IF($A437&gt;PARAMETROS!$C$33,"",PARAMETROS!$C$38)</f>
        <v/>
      </c>
      <c r="G437" s="16" t="str">
        <f aca="false">IF($A437&gt;PARAMETROS!$C$33,"",E437*F437)</f>
        <v/>
      </c>
      <c r="H437" s="16" t="str">
        <f aca="false">IF($A437&gt;PARAMETROS!$C$33,"",E437*PARAMETROS!$C$39)</f>
        <v/>
      </c>
      <c r="I437" s="16" t="str">
        <f aca="false">IF($A437&gt;PARAMETROS!$C$33,"",G437-H437)</f>
        <v/>
      </c>
      <c r="J437" s="16" t="str">
        <f aca="false">IF($A437&gt;PARAMETROS!$C$33,"",PARAMETROS!$C$9*(1+PARAMETROS!$C$17)^(B437-1))</f>
        <v/>
      </c>
      <c r="K437" s="16" t="str">
        <f aca="false">IF($A437&gt;PARAMETROS!$C$33,"",K436*(1+PARAMETROS!$C$36))</f>
        <v/>
      </c>
      <c r="L437" s="16" t="str">
        <f aca="false">IF($A437&gt;PARAMETROS!$C$33,"",L436*(1+PARAMETROS!$C$37)*(1+M437))</f>
        <v/>
      </c>
      <c r="M437" s="17" t="str">
        <f aca="false">IF($A437&gt;PARAMETROS!$C$33,"",IF(C437&lt;70,PARAMETROS!$C$40,IF(C437&lt;75,PARAMETROS!$C$41,IF(C437&lt;80,PARAMETROS!$C$42,IF(C437&lt;85,PARAMETROS!$C$43,IF(C437&lt;90,PARAMETROS!$C$44,PARAMETROS!$C$45))))))</f>
        <v/>
      </c>
      <c r="N437" s="16" t="str">
        <f aca="false">IF($A437&gt;PARAMETROS!$C$33,"",K437+L437)</f>
        <v/>
      </c>
      <c r="O437" s="16" t="str">
        <f aca="false">IF($A437&gt;PARAMETROS!$C$33,"",I437+J437-N437)</f>
        <v/>
      </c>
      <c r="P437" s="16" t="str">
        <f aca="false">IF($A437&gt;PARAMETROS!$C$33,"",MAX(E437+I437+J437-N437,0))</f>
        <v/>
      </c>
      <c r="Q437" s="18" t="str">
        <f aca="false">IF($A437&gt;PARAMETROS!$C$33,"",IF(P437&lt;=0,"AGOTADO","OK"))</f>
        <v/>
      </c>
    </row>
    <row r="438" customFormat="false" ht="15" hidden="false" customHeight="false" outlineLevel="0" collapsed="false">
      <c r="A438" s="15" t="n">
        <f aca="false">A437+1</f>
        <v>436</v>
      </c>
      <c r="B438" s="15" t="n">
        <f aca="false">IF($A438="","",ROUNDUP($A438/12,0))</f>
        <v>37</v>
      </c>
      <c r="C438" s="15" t="n">
        <f aca="false">IF($A438="","",PARAMETROS!$C$6+INT(($A438-1)/12))</f>
        <v>101</v>
      </c>
      <c r="D438" s="15" t="n">
        <f aca="false">IF($A438="","",MOD($A438-1,12)+1)</f>
        <v>4</v>
      </c>
      <c r="E438" s="16" t="str">
        <f aca="false">IF($A438&gt;PARAMETROS!$C$33,"",P437)</f>
        <v/>
      </c>
      <c r="F438" s="17" t="str">
        <f aca="false">IF($A438&gt;PARAMETROS!$C$33,"",PARAMETROS!$C$38)</f>
        <v/>
      </c>
      <c r="G438" s="16" t="str">
        <f aca="false">IF($A438&gt;PARAMETROS!$C$33,"",E438*F438)</f>
        <v/>
      </c>
      <c r="H438" s="16" t="str">
        <f aca="false">IF($A438&gt;PARAMETROS!$C$33,"",E438*PARAMETROS!$C$39)</f>
        <v/>
      </c>
      <c r="I438" s="16" t="str">
        <f aca="false">IF($A438&gt;PARAMETROS!$C$33,"",G438-H438)</f>
        <v/>
      </c>
      <c r="J438" s="16" t="str">
        <f aca="false">IF($A438&gt;PARAMETROS!$C$33,"",PARAMETROS!$C$9*(1+PARAMETROS!$C$17)^(B438-1))</f>
        <v/>
      </c>
      <c r="K438" s="16" t="str">
        <f aca="false">IF($A438&gt;PARAMETROS!$C$33,"",K437*(1+PARAMETROS!$C$36))</f>
        <v/>
      </c>
      <c r="L438" s="16" t="str">
        <f aca="false">IF($A438&gt;PARAMETROS!$C$33,"",L437*(1+PARAMETROS!$C$37)*(1+M438))</f>
        <v/>
      </c>
      <c r="M438" s="17" t="str">
        <f aca="false">IF($A438&gt;PARAMETROS!$C$33,"",IF(C438&lt;70,PARAMETROS!$C$40,IF(C438&lt;75,PARAMETROS!$C$41,IF(C438&lt;80,PARAMETROS!$C$42,IF(C438&lt;85,PARAMETROS!$C$43,IF(C438&lt;90,PARAMETROS!$C$44,PARAMETROS!$C$45))))))</f>
        <v/>
      </c>
      <c r="N438" s="16" t="str">
        <f aca="false">IF($A438&gt;PARAMETROS!$C$33,"",K438+L438)</f>
        <v/>
      </c>
      <c r="O438" s="16" t="str">
        <f aca="false">IF($A438&gt;PARAMETROS!$C$33,"",I438+J438-N438)</f>
        <v/>
      </c>
      <c r="P438" s="16" t="str">
        <f aca="false">IF($A438&gt;PARAMETROS!$C$33,"",MAX(E438+I438+J438-N438,0))</f>
        <v/>
      </c>
      <c r="Q438" s="18" t="str">
        <f aca="false">IF($A438&gt;PARAMETROS!$C$33,"",IF(P438&lt;=0,"AGOTADO","OK"))</f>
        <v/>
      </c>
    </row>
    <row r="439" customFormat="false" ht="15" hidden="false" customHeight="false" outlineLevel="0" collapsed="false">
      <c r="A439" s="15" t="n">
        <f aca="false">A438+1</f>
        <v>437</v>
      </c>
      <c r="B439" s="15" t="n">
        <f aca="false">IF($A439="","",ROUNDUP($A439/12,0))</f>
        <v>37</v>
      </c>
      <c r="C439" s="15" t="n">
        <f aca="false">IF($A439="","",PARAMETROS!$C$6+INT(($A439-1)/12))</f>
        <v>101</v>
      </c>
      <c r="D439" s="15" t="n">
        <f aca="false">IF($A439="","",MOD($A439-1,12)+1)</f>
        <v>5</v>
      </c>
      <c r="E439" s="16" t="str">
        <f aca="false">IF($A439&gt;PARAMETROS!$C$33,"",P438)</f>
        <v/>
      </c>
      <c r="F439" s="17" t="str">
        <f aca="false">IF($A439&gt;PARAMETROS!$C$33,"",PARAMETROS!$C$38)</f>
        <v/>
      </c>
      <c r="G439" s="16" t="str">
        <f aca="false">IF($A439&gt;PARAMETROS!$C$33,"",E439*F439)</f>
        <v/>
      </c>
      <c r="H439" s="16" t="str">
        <f aca="false">IF($A439&gt;PARAMETROS!$C$33,"",E439*PARAMETROS!$C$39)</f>
        <v/>
      </c>
      <c r="I439" s="16" t="str">
        <f aca="false">IF($A439&gt;PARAMETROS!$C$33,"",G439-H439)</f>
        <v/>
      </c>
      <c r="J439" s="16" t="str">
        <f aca="false">IF($A439&gt;PARAMETROS!$C$33,"",PARAMETROS!$C$9*(1+PARAMETROS!$C$17)^(B439-1))</f>
        <v/>
      </c>
      <c r="K439" s="16" t="str">
        <f aca="false">IF($A439&gt;PARAMETROS!$C$33,"",K438*(1+PARAMETROS!$C$36))</f>
        <v/>
      </c>
      <c r="L439" s="16" t="str">
        <f aca="false">IF($A439&gt;PARAMETROS!$C$33,"",L438*(1+PARAMETROS!$C$37)*(1+M439))</f>
        <v/>
      </c>
      <c r="M439" s="17" t="str">
        <f aca="false">IF($A439&gt;PARAMETROS!$C$33,"",IF(C439&lt;70,PARAMETROS!$C$40,IF(C439&lt;75,PARAMETROS!$C$41,IF(C439&lt;80,PARAMETROS!$C$42,IF(C439&lt;85,PARAMETROS!$C$43,IF(C439&lt;90,PARAMETROS!$C$44,PARAMETROS!$C$45))))))</f>
        <v/>
      </c>
      <c r="N439" s="16" t="str">
        <f aca="false">IF($A439&gt;PARAMETROS!$C$33,"",K439+L439)</f>
        <v/>
      </c>
      <c r="O439" s="16" t="str">
        <f aca="false">IF($A439&gt;PARAMETROS!$C$33,"",I439+J439-N439)</f>
        <v/>
      </c>
      <c r="P439" s="16" t="str">
        <f aca="false">IF($A439&gt;PARAMETROS!$C$33,"",MAX(E439+I439+J439-N439,0))</f>
        <v/>
      </c>
      <c r="Q439" s="18" t="str">
        <f aca="false">IF($A439&gt;PARAMETROS!$C$33,"",IF(P439&lt;=0,"AGOTADO","OK"))</f>
        <v/>
      </c>
    </row>
    <row r="440" customFormat="false" ht="15" hidden="false" customHeight="false" outlineLevel="0" collapsed="false">
      <c r="A440" s="15" t="n">
        <f aca="false">A439+1</f>
        <v>438</v>
      </c>
      <c r="B440" s="15" t="n">
        <f aca="false">IF($A440="","",ROUNDUP($A440/12,0))</f>
        <v>37</v>
      </c>
      <c r="C440" s="15" t="n">
        <f aca="false">IF($A440="","",PARAMETROS!$C$6+INT(($A440-1)/12))</f>
        <v>101</v>
      </c>
      <c r="D440" s="15" t="n">
        <f aca="false">IF($A440="","",MOD($A440-1,12)+1)</f>
        <v>6</v>
      </c>
      <c r="E440" s="16" t="str">
        <f aca="false">IF($A440&gt;PARAMETROS!$C$33,"",P439)</f>
        <v/>
      </c>
      <c r="F440" s="17" t="str">
        <f aca="false">IF($A440&gt;PARAMETROS!$C$33,"",PARAMETROS!$C$38)</f>
        <v/>
      </c>
      <c r="G440" s="16" t="str">
        <f aca="false">IF($A440&gt;PARAMETROS!$C$33,"",E440*F440)</f>
        <v/>
      </c>
      <c r="H440" s="16" t="str">
        <f aca="false">IF($A440&gt;PARAMETROS!$C$33,"",E440*PARAMETROS!$C$39)</f>
        <v/>
      </c>
      <c r="I440" s="16" t="str">
        <f aca="false">IF($A440&gt;PARAMETROS!$C$33,"",G440-H440)</f>
        <v/>
      </c>
      <c r="J440" s="16" t="str">
        <f aca="false">IF($A440&gt;PARAMETROS!$C$33,"",PARAMETROS!$C$9*(1+PARAMETROS!$C$17)^(B440-1))</f>
        <v/>
      </c>
      <c r="K440" s="16" t="str">
        <f aca="false">IF($A440&gt;PARAMETROS!$C$33,"",K439*(1+PARAMETROS!$C$36))</f>
        <v/>
      </c>
      <c r="L440" s="16" t="str">
        <f aca="false">IF($A440&gt;PARAMETROS!$C$33,"",L439*(1+PARAMETROS!$C$37)*(1+M440))</f>
        <v/>
      </c>
      <c r="M440" s="17" t="str">
        <f aca="false">IF($A440&gt;PARAMETROS!$C$33,"",IF(C440&lt;70,PARAMETROS!$C$40,IF(C440&lt;75,PARAMETROS!$C$41,IF(C440&lt;80,PARAMETROS!$C$42,IF(C440&lt;85,PARAMETROS!$C$43,IF(C440&lt;90,PARAMETROS!$C$44,PARAMETROS!$C$45))))))</f>
        <v/>
      </c>
      <c r="N440" s="16" t="str">
        <f aca="false">IF($A440&gt;PARAMETROS!$C$33,"",K440+L440)</f>
        <v/>
      </c>
      <c r="O440" s="16" t="str">
        <f aca="false">IF($A440&gt;PARAMETROS!$C$33,"",I440+J440-N440)</f>
        <v/>
      </c>
      <c r="P440" s="16" t="str">
        <f aca="false">IF($A440&gt;PARAMETROS!$C$33,"",MAX(E440+I440+J440-N440,0))</f>
        <v/>
      </c>
      <c r="Q440" s="18" t="str">
        <f aca="false">IF($A440&gt;PARAMETROS!$C$33,"",IF(P440&lt;=0,"AGOTADO","OK"))</f>
        <v/>
      </c>
    </row>
    <row r="441" customFormat="false" ht="15" hidden="false" customHeight="false" outlineLevel="0" collapsed="false">
      <c r="A441" s="15" t="n">
        <f aca="false">A440+1</f>
        <v>439</v>
      </c>
      <c r="B441" s="15" t="n">
        <f aca="false">IF($A441="","",ROUNDUP($A441/12,0))</f>
        <v>37</v>
      </c>
      <c r="C441" s="15" t="n">
        <f aca="false">IF($A441="","",PARAMETROS!$C$6+INT(($A441-1)/12))</f>
        <v>101</v>
      </c>
      <c r="D441" s="15" t="n">
        <f aca="false">IF($A441="","",MOD($A441-1,12)+1)</f>
        <v>7</v>
      </c>
      <c r="E441" s="16" t="str">
        <f aca="false">IF($A441&gt;PARAMETROS!$C$33,"",P440)</f>
        <v/>
      </c>
      <c r="F441" s="17" t="str">
        <f aca="false">IF($A441&gt;PARAMETROS!$C$33,"",PARAMETROS!$C$38)</f>
        <v/>
      </c>
      <c r="G441" s="16" t="str">
        <f aca="false">IF($A441&gt;PARAMETROS!$C$33,"",E441*F441)</f>
        <v/>
      </c>
      <c r="H441" s="16" t="str">
        <f aca="false">IF($A441&gt;PARAMETROS!$C$33,"",E441*PARAMETROS!$C$39)</f>
        <v/>
      </c>
      <c r="I441" s="16" t="str">
        <f aca="false">IF($A441&gt;PARAMETROS!$C$33,"",G441-H441)</f>
        <v/>
      </c>
      <c r="J441" s="16" t="str">
        <f aca="false">IF($A441&gt;PARAMETROS!$C$33,"",PARAMETROS!$C$9*(1+PARAMETROS!$C$17)^(B441-1))</f>
        <v/>
      </c>
      <c r="K441" s="16" t="str">
        <f aca="false">IF($A441&gt;PARAMETROS!$C$33,"",K440*(1+PARAMETROS!$C$36))</f>
        <v/>
      </c>
      <c r="L441" s="16" t="str">
        <f aca="false">IF($A441&gt;PARAMETROS!$C$33,"",L440*(1+PARAMETROS!$C$37)*(1+M441))</f>
        <v/>
      </c>
      <c r="M441" s="17" t="str">
        <f aca="false">IF($A441&gt;PARAMETROS!$C$33,"",IF(C441&lt;70,PARAMETROS!$C$40,IF(C441&lt;75,PARAMETROS!$C$41,IF(C441&lt;80,PARAMETROS!$C$42,IF(C441&lt;85,PARAMETROS!$C$43,IF(C441&lt;90,PARAMETROS!$C$44,PARAMETROS!$C$45))))))</f>
        <v/>
      </c>
      <c r="N441" s="16" t="str">
        <f aca="false">IF($A441&gt;PARAMETROS!$C$33,"",K441+L441)</f>
        <v/>
      </c>
      <c r="O441" s="16" t="str">
        <f aca="false">IF($A441&gt;PARAMETROS!$C$33,"",I441+J441-N441)</f>
        <v/>
      </c>
      <c r="P441" s="16" t="str">
        <f aca="false">IF($A441&gt;PARAMETROS!$C$33,"",MAX(E441+I441+J441-N441,0))</f>
        <v/>
      </c>
      <c r="Q441" s="18" t="str">
        <f aca="false">IF($A441&gt;PARAMETROS!$C$33,"",IF(P441&lt;=0,"AGOTADO","OK"))</f>
        <v/>
      </c>
    </row>
    <row r="442" customFormat="false" ht="15" hidden="false" customHeight="false" outlineLevel="0" collapsed="false">
      <c r="A442" s="15" t="n">
        <f aca="false">A441+1</f>
        <v>440</v>
      </c>
      <c r="B442" s="15" t="n">
        <f aca="false">IF($A442="","",ROUNDUP($A442/12,0))</f>
        <v>37</v>
      </c>
      <c r="C442" s="15" t="n">
        <f aca="false">IF($A442="","",PARAMETROS!$C$6+INT(($A442-1)/12))</f>
        <v>101</v>
      </c>
      <c r="D442" s="15" t="n">
        <f aca="false">IF($A442="","",MOD($A442-1,12)+1)</f>
        <v>8</v>
      </c>
      <c r="E442" s="16" t="str">
        <f aca="false">IF($A442&gt;PARAMETROS!$C$33,"",P441)</f>
        <v/>
      </c>
      <c r="F442" s="17" t="str">
        <f aca="false">IF($A442&gt;PARAMETROS!$C$33,"",PARAMETROS!$C$38)</f>
        <v/>
      </c>
      <c r="G442" s="16" t="str">
        <f aca="false">IF($A442&gt;PARAMETROS!$C$33,"",E442*F442)</f>
        <v/>
      </c>
      <c r="H442" s="16" t="str">
        <f aca="false">IF($A442&gt;PARAMETROS!$C$33,"",E442*PARAMETROS!$C$39)</f>
        <v/>
      </c>
      <c r="I442" s="16" t="str">
        <f aca="false">IF($A442&gt;PARAMETROS!$C$33,"",G442-H442)</f>
        <v/>
      </c>
      <c r="J442" s="16" t="str">
        <f aca="false">IF($A442&gt;PARAMETROS!$C$33,"",PARAMETROS!$C$9*(1+PARAMETROS!$C$17)^(B442-1))</f>
        <v/>
      </c>
      <c r="K442" s="16" t="str">
        <f aca="false">IF($A442&gt;PARAMETROS!$C$33,"",K441*(1+PARAMETROS!$C$36))</f>
        <v/>
      </c>
      <c r="L442" s="16" t="str">
        <f aca="false">IF($A442&gt;PARAMETROS!$C$33,"",L441*(1+PARAMETROS!$C$37)*(1+M442))</f>
        <v/>
      </c>
      <c r="M442" s="17" t="str">
        <f aca="false">IF($A442&gt;PARAMETROS!$C$33,"",IF(C442&lt;70,PARAMETROS!$C$40,IF(C442&lt;75,PARAMETROS!$C$41,IF(C442&lt;80,PARAMETROS!$C$42,IF(C442&lt;85,PARAMETROS!$C$43,IF(C442&lt;90,PARAMETROS!$C$44,PARAMETROS!$C$45))))))</f>
        <v/>
      </c>
      <c r="N442" s="16" t="str">
        <f aca="false">IF($A442&gt;PARAMETROS!$C$33,"",K442+L442)</f>
        <v/>
      </c>
      <c r="O442" s="16" t="str">
        <f aca="false">IF($A442&gt;PARAMETROS!$C$33,"",I442+J442-N442)</f>
        <v/>
      </c>
      <c r="P442" s="16" t="str">
        <f aca="false">IF($A442&gt;PARAMETROS!$C$33,"",MAX(E442+I442+J442-N442,0))</f>
        <v/>
      </c>
      <c r="Q442" s="18" t="str">
        <f aca="false">IF($A442&gt;PARAMETROS!$C$33,"",IF(P442&lt;=0,"AGOTADO","OK"))</f>
        <v/>
      </c>
    </row>
    <row r="443" customFormat="false" ht="15" hidden="false" customHeight="false" outlineLevel="0" collapsed="false">
      <c r="A443" s="15" t="n">
        <f aca="false">A442+1</f>
        <v>441</v>
      </c>
      <c r="B443" s="15" t="n">
        <f aca="false">IF($A443="","",ROUNDUP($A443/12,0))</f>
        <v>37</v>
      </c>
      <c r="C443" s="15" t="n">
        <f aca="false">IF($A443="","",PARAMETROS!$C$6+INT(($A443-1)/12))</f>
        <v>101</v>
      </c>
      <c r="D443" s="15" t="n">
        <f aca="false">IF($A443="","",MOD($A443-1,12)+1)</f>
        <v>9</v>
      </c>
      <c r="E443" s="16" t="str">
        <f aca="false">IF($A443&gt;PARAMETROS!$C$33,"",P442)</f>
        <v/>
      </c>
      <c r="F443" s="17" t="str">
        <f aca="false">IF($A443&gt;PARAMETROS!$C$33,"",PARAMETROS!$C$38)</f>
        <v/>
      </c>
      <c r="G443" s="16" t="str">
        <f aca="false">IF($A443&gt;PARAMETROS!$C$33,"",E443*F443)</f>
        <v/>
      </c>
      <c r="H443" s="16" t="str">
        <f aca="false">IF($A443&gt;PARAMETROS!$C$33,"",E443*PARAMETROS!$C$39)</f>
        <v/>
      </c>
      <c r="I443" s="16" t="str">
        <f aca="false">IF($A443&gt;PARAMETROS!$C$33,"",G443-H443)</f>
        <v/>
      </c>
      <c r="J443" s="16" t="str">
        <f aca="false">IF($A443&gt;PARAMETROS!$C$33,"",PARAMETROS!$C$9*(1+PARAMETROS!$C$17)^(B443-1))</f>
        <v/>
      </c>
      <c r="K443" s="16" t="str">
        <f aca="false">IF($A443&gt;PARAMETROS!$C$33,"",K442*(1+PARAMETROS!$C$36))</f>
        <v/>
      </c>
      <c r="L443" s="16" t="str">
        <f aca="false">IF($A443&gt;PARAMETROS!$C$33,"",L442*(1+PARAMETROS!$C$37)*(1+M443))</f>
        <v/>
      </c>
      <c r="M443" s="17" t="str">
        <f aca="false">IF($A443&gt;PARAMETROS!$C$33,"",IF(C443&lt;70,PARAMETROS!$C$40,IF(C443&lt;75,PARAMETROS!$C$41,IF(C443&lt;80,PARAMETROS!$C$42,IF(C443&lt;85,PARAMETROS!$C$43,IF(C443&lt;90,PARAMETROS!$C$44,PARAMETROS!$C$45))))))</f>
        <v/>
      </c>
      <c r="N443" s="16" t="str">
        <f aca="false">IF($A443&gt;PARAMETROS!$C$33,"",K443+L443)</f>
        <v/>
      </c>
      <c r="O443" s="16" t="str">
        <f aca="false">IF($A443&gt;PARAMETROS!$C$33,"",I443+J443-N443)</f>
        <v/>
      </c>
      <c r="P443" s="16" t="str">
        <f aca="false">IF($A443&gt;PARAMETROS!$C$33,"",MAX(E443+I443+J443-N443,0))</f>
        <v/>
      </c>
      <c r="Q443" s="18" t="str">
        <f aca="false">IF($A443&gt;PARAMETROS!$C$33,"",IF(P443&lt;=0,"AGOTADO","OK"))</f>
        <v/>
      </c>
    </row>
    <row r="444" customFormat="false" ht="15" hidden="false" customHeight="false" outlineLevel="0" collapsed="false">
      <c r="A444" s="15" t="n">
        <f aca="false">A443+1</f>
        <v>442</v>
      </c>
      <c r="B444" s="15" t="n">
        <f aca="false">IF($A444="","",ROUNDUP($A444/12,0))</f>
        <v>37</v>
      </c>
      <c r="C444" s="15" t="n">
        <f aca="false">IF($A444="","",PARAMETROS!$C$6+INT(($A444-1)/12))</f>
        <v>101</v>
      </c>
      <c r="D444" s="15" t="n">
        <f aca="false">IF($A444="","",MOD($A444-1,12)+1)</f>
        <v>10</v>
      </c>
      <c r="E444" s="16" t="str">
        <f aca="false">IF($A444&gt;PARAMETROS!$C$33,"",P443)</f>
        <v/>
      </c>
      <c r="F444" s="17" t="str">
        <f aca="false">IF($A444&gt;PARAMETROS!$C$33,"",PARAMETROS!$C$38)</f>
        <v/>
      </c>
      <c r="G444" s="16" t="str">
        <f aca="false">IF($A444&gt;PARAMETROS!$C$33,"",E444*F444)</f>
        <v/>
      </c>
      <c r="H444" s="16" t="str">
        <f aca="false">IF($A444&gt;PARAMETROS!$C$33,"",E444*PARAMETROS!$C$39)</f>
        <v/>
      </c>
      <c r="I444" s="16" t="str">
        <f aca="false">IF($A444&gt;PARAMETROS!$C$33,"",G444-H444)</f>
        <v/>
      </c>
      <c r="J444" s="16" t="str">
        <f aca="false">IF($A444&gt;PARAMETROS!$C$33,"",PARAMETROS!$C$9*(1+PARAMETROS!$C$17)^(B444-1))</f>
        <v/>
      </c>
      <c r="K444" s="16" t="str">
        <f aca="false">IF($A444&gt;PARAMETROS!$C$33,"",K443*(1+PARAMETROS!$C$36))</f>
        <v/>
      </c>
      <c r="L444" s="16" t="str">
        <f aca="false">IF($A444&gt;PARAMETROS!$C$33,"",L443*(1+PARAMETROS!$C$37)*(1+M444))</f>
        <v/>
      </c>
      <c r="M444" s="17" t="str">
        <f aca="false">IF($A444&gt;PARAMETROS!$C$33,"",IF(C444&lt;70,PARAMETROS!$C$40,IF(C444&lt;75,PARAMETROS!$C$41,IF(C444&lt;80,PARAMETROS!$C$42,IF(C444&lt;85,PARAMETROS!$C$43,IF(C444&lt;90,PARAMETROS!$C$44,PARAMETROS!$C$45))))))</f>
        <v/>
      </c>
      <c r="N444" s="16" t="str">
        <f aca="false">IF($A444&gt;PARAMETROS!$C$33,"",K444+L444)</f>
        <v/>
      </c>
      <c r="O444" s="16" t="str">
        <f aca="false">IF($A444&gt;PARAMETROS!$C$33,"",I444+J444-N444)</f>
        <v/>
      </c>
      <c r="P444" s="16" t="str">
        <f aca="false">IF($A444&gt;PARAMETROS!$C$33,"",MAX(E444+I444+J444-N444,0))</f>
        <v/>
      </c>
      <c r="Q444" s="18" t="str">
        <f aca="false">IF($A444&gt;PARAMETROS!$C$33,"",IF(P444&lt;=0,"AGOTADO","OK"))</f>
        <v/>
      </c>
    </row>
    <row r="445" customFormat="false" ht="15" hidden="false" customHeight="false" outlineLevel="0" collapsed="false">
      <c r="A445" s="15" t="n">
        <f aca="false">A444+1</f>
        <v>443</v>
      </c>
      <c r="B445" s="15" t="n">
        <f aca="false">IF($A445="","",ROUNDUP($A445/12,0))</f>
        <v>37</v>
      </c>
      <c r="C445" s="15" t="n">
        <f aca="false">IF($A445="","",PARAMETROS!$C$6+INT(($A445-1)/12))</f>
        <v>101</v>
      </c>
      <c r="D445" s="15" t="n">
        <f aca="false">IF($A445="","",MOD($A445-1,12)+1)</f>
        <v>11</v>
      </c>
      <c r="E445" s="16" t="str">
        <f aca="false">IF($A445&gt;PARAMETROS!$C$33,"",P444)</f>
        <v/>
      </c>
      <c r="F445" s="17" t="str">
        <f aca="false">IF($A445&gt;PARAMETROS!$C$33,"",PARAMETROS!$C$38)</f>
        <v/>
      </c>
      <c r="G445" s="16" t="str">
        <f aca="false">IF($A445&gt;PARAMETROS!$C$33,"",E445*F445)</f>
        <v/>
      </c>
      <c r="H445" s="16" t="str">
        <f aca="false">IF($A445&gt;PARAMETROS!$C$33,"",E445*PARAMETROS!$C$39)</f>
        <v/>
      </c>
      <c r="I445" s="16" t="str">
        <f aca="false">IF($A445&gt;PARAMETROS!$C$33,"",G445-H445)</f>
        <v/>
      </c>
      <c r="J445" s="16" t="str">
        <f aca="false">IF($A445&gt;PARAMETROS!$C$33,"",PARAMETROS!$C$9*(1+PARAMETROS!$C$17)^(B445-1))</f>
        <v/>
      </c>
      <c r="K445" s="16" t="str">
        <f aca="false">IF($A445&gt;PARAMETROS!$C$33,"",K444*(1+PARAMETROS!$C$36))</f>
        <v/>
      </c>
      <c r="L445" s="16" t="str">
        <f aca="false">IF($A445&gt;PARAMETROS!$C$33,"",L444*(1+PARAMETROS!$C$37)*(1+M445))</f>
        <v/>
      </c>
      <c r="M445" s="17" t="str">
        <f aca="false">IF($A445&gt;PARAMETROS!$C$33,"",IF(C445&lt;70,PARAMETROS!$C$40,IF(C445&lt;75,PARAMETROS!$C$41,IF(C445&lt;80,PARAMETROS!$C$42,IF(C445&lt;85,PARAMETROS!$C$43,IF(C445&lt;90,PARAMETROS!$C$44,PARAMETROS!$C$45))))))</f>
        <v/>
      </c>
      <c r="N445" s="16" t="str">
        <f aca="false">IF($A445&gt;PARAMETROS!$C$33,"",K445+L445)</f>
        <v/>
      </c>
      <c r="O445" s="16" t="str">
        <f aca="false">IF($A445&gt;PARAMETROS!$C$33,"",I445+J445-N445)</f>
        <v/>
      </c>
      <c r="P445" s="16" t="str">
        <f aca="false">IF($A445&gt;PARAMETROS!$C$33,"",MAX(E445+I445+J445-N445,0))</f>
        <v/>
      </c>
      <c r="Q445" s="18" t="str">
        <f aca="false">IF($A445&gt;PARAMETROS!$C$33,"",IF(P445&lt;=0,"AGOTADO","OK"))</f>
        <v/>
      </c>
    </row>
    <row r="446" customFormat="false" ht="15" hidden="false" customHeight="false" outlineLevel="0" collapsed="false">
      <c r="A446" s="15" t="n">
        <f aca="false">A445+1</f>
        <v>444</v>
      </c>
      <c r="B446" s="15" t="n">
        <f aca="false">IF($A446="","",ROUNDUP($A446/12,0))</f>
        <v>37</v>
      </c>
      <c r="C446" s="15" t="n">
        <f aca="false">IF($A446="","",PARAMETROS!$C$6+INT(($A446-1)/12))</f>
        <v>101</v>
      </c>
      <c r="D446" s="15" t="n">
        <f aca="false">IF($A446="","",MOD($A446-1,12)+1)</f>
        <v>12</v>
      </c>
      <c r="E446" s="16" t="str">
        <f aca="false">IF($A446&gt;PARAMETROS!$C$33,"",P445)</f>
        <v/>
      </c>
      <c r="F446" s="17" t="str">
        <f aca="false">IF($A446&gt;PARAMETROS!$C$33,"",PARAMETROS!$C$38)</f>
        <v/>
      </c>
      <c r="G446" s="16" t="str">
        <f aca="false">IF($A446&gt;PARAMETROS!$C$33,"",E446*F446)</f>
        <v/>
      </c>
      <c r="H446" s="16" t="str">
        <f aca="false">IF($A446&gt;PARAMETROS!$C$33,"",E446*PARAMETROS!$C$39)</f>
        <v/>
      </c>
      <c r="I446" s="16" t="str">
        <f aca="false">IF($A446&gt;PARAMETROS!$C$33,"",G446-H446)</f>
        <v/>
      </c>
      <c r="J446" s="16" t="str">
        <f aca="false">IF($A446&gt;PARAMETROS!$C$33,"",PARAMETROS!$C$9*(1+PARAMETROS!$C$17)^(B446-1))</f>
        <v/>
      </c>
      <c r="K446" s="16" t="str">
        <f aca="false">IF($A446&gt;PARAMETROS!$C$33,"",K445*(1+PARAMETROS!$C$36))</f>
        <v/>
      </c>
      <c r="L446" s="16" t="str">
        <f aca="false">IF($A446&gt;PARAMETROS!$C$33,"",L445*(1+PARAMETROS!$C$37)*(1+M446))</f>
        <v/>
      </c>
      <c r="M446" s="17" t="str">
        <f aca="false">IF($A446&gt;PARAMETROS!$C$33,"",IF(C446&lt;70,PARAMETROS!$C$40,IF(C446&lt;75,PARAMETROS!$C$41,IF(C446&lt;80,PARAMETROS!$C$42,IF(C446&lt;85,PARAMETROS!$C$43,IF(C446&lt;90,PARAMETROS!$C$44,PARAMETROS!$C$45))))))</f>
        <v/>
      </c>
      <c r="N446" s="16" t="str">
        <f aca="false">IF($A446&gt;PARAMETROS!$C$33,"",K446+L446)</f>
        <v/>
      </c>
      <c r="O446" s="16" t="str">
        <f aca="false">IF($A446&gt;PARAMETROS!$C$33,"",I446+J446-N446)</f>
        <v/>
      </c>
      <c r="P446" s="16" t="str">
        <f aca="false">IF($A446&gt;PARAMETROS!$C$33,"",MAX(E446+I446+J446-N446,0))</f>
        <v/>
      </c>
      <c r="Q446" s="18" t="str">
        <f aca="false">IF($A446&gt;PARAMETROS!$C$33,"",IF(P446&lt;=0,"AGOTADO","OK"))</f>
        <v/>
      </c>
    </row>
    <row r="447" customFormat="false" ht="15" hidden="false" customHeight="false" outlineLevel="0" collapsed="false">
      <c r="A447" s="19" t="n">
        <f aca="false">A446+1</f>
        <v>445</v>
      </c>
      <c r="B447" s="19" t="n">
        <f aca="false">IF($A447="","",ROUNDUP($A447/12,0))</f>
        <v>38</v>
      </c>
      <c r="C447" s="19" t="n">
        <f aca="false">IF($A447="","",PARAMETROS!$C$6+INT(($A447-1)/12))</f>
        <v>102</v>
      </c>
      <c r="D447" s="19" t="n">
        <f aca="false">IF($A447="","",MOD($A447-1,12)+1)</f>
        <v>1</v>
      </c>
      <c r="E447" s="20" t="str">
        <f aca="false">IF($A447&gt;PARAMETROS!$C$33,"",P446)</f>
        <v/>
      </c>
      <c r="F447" s="21" t="str">
        <f aca="false">IF($A447&gt;PARAMETROS!$C$33,"",PARAMETROS!$C$38)</f>
        <v/>
      </c>
      <c r="G447" s="20" t="str">
        <f aca="false">IF($A447&gt;PARAMETROS!$C$33,"",E447*F447)</f>
        <v/>
      </c>
      <c r="H447" s="20" t="str">
        <f aca="false">IF($A447&gt;PARAMETROS!$C$33,"",E447*PARAMETROS!$C$39)</f>
        <v/>
      </c>
      <c r="I447" s="20" t="str">
        <f aca="false">IF($A447&gt;PARAMETROS!$C$33,"",G447-H447)</f>
        <v/>
      </c>
      <c r="J447" s="20" t="str">
        <f aca="false">IF($A447&gt;PARAMETROS!$C$33,"",PARAMETROS!$C$9*(1+PARAMETROS!$C$17)^(B447-1))</f>
        <v/>
      </c>
      <c r="K447" s="20" t="str">
        <f aca="false">IF($A447&gt;PARAMETROS!$C$33,"",K446*(1+PARAMETROS!$C$36))</f>
        <v/>
      </c>
      <c r="L447" s="20" t="str">
        <f aca="false">IF($A447&gt;PARAMETROS!$C$33,"",L446*(1+PARAMETROS!$C$37)*(1+M447))</f>
        <v/>
      </c>
      <c r="M447" s="21" t="str">
        <f aca="false">IF($A447&gt;PARAMETROS!$C$33,"",IF(C447&lt;70,PARAMETROS!$C$40,IF(C447&lt;75,PARAMETROS!$C$41,IF(C447&lt;80,PARAMETROS!$C$42,IF(C447&lt;85,PARAMETROS!$C$43,IF(C447&lt;90,PARAMETROS!$C$44,PARAMETROS!$C$45))))))</f>
        <v/>
      </c>
      <c r="N447" s="20" t="str">
        <f aca="false">IF($A447&gt;PARAMETROS!$C$33,"",K447+L447)</f>
        <v/>
      </c>
      <c r="O447" s="20" t="str">
        <f aca="false">IF($A447&gt;PARAMETROS!$C$33,"",I447+J447-N447)</f>
        <v/>
      </c>
      <c r="P447" s="20" t="str">
        <f aca="false">IF($A447&gt;PARAMETROS!$C$33,"",MAX(E447+I447+J447-N447,0))</f>
        <v/>
      </c>
      <c r="Q447" s="22" t="str">
        <f aca="false">IF($A447&gt;PARAMETROS!$C$33,"",IF(P447&lt;=0,"AGOTADO","OK"))</f>
        <v/>
      </c>
    </row>
    <row r="448" customFormat="false" ht="15" hidden="false" customHeight="false" outlineLevel="0" collapsed="false">
      <c r="A448" s="19" t="n">
        <f aca="false">A447+1</f>
        <v>446</v>
      </c>
      <c r="B448" s="19" t="n">
        <f aca="false">IF($A448="","",ROUNDUP($A448/12,0))</f>
        <v>38</v>
      </c>
      <c r="C448" s="19" t="n">
        <f aca="false">IF($A448="","",PARAMETROS!$C$6+INT(($A448-1)/12))</f>
        <v>102</v>
      </c>
      <c r="D448" s="19" t="n">
        <f aca="false">IF($A448="","",MOD($A448-1,12)+1)</f>
        <v>2</v>
      </c>
      <c r="E448" s="20" t="str">
        <f aca="false">IF($A448&gt;PARAMETROS!$C$33,"",P447)</f>
        <v/>
      </c>
      <c r="F448" s="21" t="str">
        <f aca="false">IF($A448&gt;PARAMETROS!$C$33,"",PARAMETROS!$C$38)</f>
        <v/>
      </c>
      <c r="G448" s="20" t="str">
        <f aca="false">IF($A448&gt;PARAMETROS!$C$33,"",E448*F448)</f>
        <v/>
      </c>
      <c r="H448" s="20" t="str">
        <f aca="false">IF($A448&gt;PARAMETROS!$C$33,"",E448*PARAMETROS!$C$39)</f>
        <v/>
      </c>
      <c r="I448" s="20" t="str">
        <f aca="false">IF($A448&gt;PARAMETROS!$C$33,"",G448-H448)</f>
        <v/>
      </c>
      <c r="J448" s="20" t="str">
        <f aca="false">IF($A448&gt;PARAMETROS!$C$33,"",PARAMETROS!$C$9*(1+PARAMETROS!$C$17)^(B448-1))</f>
        <v/>
      </c>
      <c r="K448" s="20" t="str">
        <f aca="false">IF($A448&gt;PARAMETROS!$C$33,"",K447*(1+PARAMETROS!$C$36))</f>
        <v/>
      </c>
      <c r="L448" s="20" t="str">
        <f aca="false">IF($A448&gt;PARAMETROS!$C$33,"",L447*(1+PARAMETROS!$C$37)*(1+M448))</f>
        <v/>
      </c>
      <c r="M448" s="21" t="str">
        <f aca="false">IF($A448&gt;PARAMETROS!$C$33,"",IF(C448&lt;70,PARAMETROS!$C$40,IF(C448&lt;75,PARAMETROS!$C$41,IF(C448&lt;80,PARAMETROS!$C$42,IF(C448&lt;85,PARAMETROS!$C$43,IF(C448&lt;90,PARAMETROS!$C$44,PARAMETROS!$C$45))))))</f>
        <v/>
      </c>
      <c r="N448" s="20" t="str">
        <f aca="false">IF($A448&gt;PARAMETROS!$C$33,"",K448+L448)</f>
        <v/>
      </c>
      <c r="O448" s="20" t="str">
        <f aca="false">IF($A448&gt;PARAMETROS!$C$33,"",I448+J448-N448)</f>
        <v/>
      </c>
      <c r="P448" s="20" t="str">
        <f aca="false">IF($A448&gt;PARAMETROS!$C$33,"",MAX(E448+I448+J448-N448,0))</f>
        <v/>
      </c>
      <c r="Q448" s="22" t="str">
        <f aca="false">IF($A448&gt;PARAMETROS!$C$33,"",IF(P448&lt;=0,"AGOTADO","OK"))</f>
        <v/>
      </c>
    </row>
    <row r="449" customFormat="false" ht="15" hidden="false" customHeight="false" outlineLevel="0" collapsed="false">
      <c r="A449" s="19" t="n">
        <f aca="false">A448+1</f>
        <v>447</v>
      </c>
      <c r="B449" s="19" t="n">
        <f aca="false">IF($A449="","",ROUNDUP($A449/12,0))</f>
        <v>38</v>
      </c>
      <c r="C449" s="19" t="n">
        <f aca="false">IF($A449="","",PARAMETROS!$C$6+INT(($A449-1)/12))</f>
        <v>102</v>
      </c>
      <c r="D449" s="19" t="n">
        <f aca="false">IF($A449="","",MOD($A449-1,12)+1)</f>
        <v>3</v>
      </c>
      <c r="E449" s="20" t="str">
        <f aca="false">IF($A449&gt;PARAMETROS!$C$33,"",P448)</f>
        <v/>
      </c>
      <c r="F449" s="21" t="str">
        <f aca="false">IF($A449&gt;PARAMETROS!$C$33,"",PARAMETROS!$C$38)</f>
        <v/>
      </c>
      <c r="G449" s="20" t="str">
        <f aca="false">IF($A449&gt;PARAMETROS!$C$33,"",E449*F449)</f>
        <v/>
      </c>
      <c r="H449" s="20" t="str">
        <f aca="false">IF($A449&gt;PARAMETROS!$C$33,"",E449*PARAMETROS!$C$39)</f>
        <v/>
      </c>
      <c r="I449" s="20" t="str">
        <f aca="false">IF($A449&gt;PARAMETROS!$C$33,"",G449-H449)</f>
        <v/>
      </c>
      <c r="J449" s="20" t="str">
        <f aca="false">IF($A449&gt;PARAMETROS!$C$33,"",PARAMETROS!$C$9*(1+PARAMETROS!$C$17)^(B449-1))</f>
        <v/>
      </c>
      <c r="K449" s="20" t="str">
        <f aca="false">IF($A449&gt;PARAMETROS!$C$33,"",K448*(1+PARAMETROS!$C$36))</f>
        <v/>
      </c>
      <c r="L449" s="20" t="str">
        <f aca="false">IF($A449&gt;PARAMETROS!$C$33,"",L448*(1+PARAMETROS!$C$37)*(1+M449))</f>
        <v/>
      </c>
      <c r="M449" s="21" t="str">
        <f aca="false">IF($A449&gt;PARAMETROS!$C$33,"",IF(C449&lt;70,PARAMETROS!$C$40,IF(C449&lt;75,PARAMETROS!$C$41,IF(C449&lt;80,PARAMETROS!$C$42,IF(C449&lt;85,PARAMETROS!$C$43,IF(C449&lt;90,PARAMETROS!$C$44,PARAMETROS!$C$45))))))</f>
        <v/>
      </c>
      <c r="N449" s="20" t="str">
        <f aca="false">IF($A449&gt;PARAMETROS!$C$33,"",K449+L449)</f>
        <v/>
      </c>
      <c r="O449" s="20" t="str">
        <f aca="false">IF($A449&gt;PARAMETROS!$C$33,"",I449+J449-N449)</f>
        <v/>
      </c>
      <c r="P449" s="20" t="str">
        <f aca="false">IF($A449&gt;PARAMETROS!$C$33,"",MAX(E449+I449+J449-N449,0))</f>
        <v/>
      </c>
      <c r="Q449" s="22" t="str">
        <f aca="false">IF($A449&gt;PARAMETROS!$C$33,"",IF(P449&lt;=0,"AGOTADO","OK"))</f>
        <v/>
      </c>
    </row>
    <row r="450" customFormat="false" ht="15" hidden="false" customHeight="false" outlineLevel="0" collapsed="false">
      <c r="A450" s="19" t="n">
        <f aca="false">A449+1</f>
        <v>448</v>
      </c>
      <c r="B450" s="19" t="n">
        <f aca="false">IF($A450="","",ROUNDUP($A450/12,0))</f>
        <v>38</v>
      </c>
      <c r="C450" s="19" t="n">
        <f aca="false">IF($A450="","",PARAMETROS!$C$6+INT(($A450-1)/12))</f>
        <v>102</v>
      </c>
      <c r="D450" s="19" t="n">
        <f aca="false">IF($A450="","",MOD($A450-1,12)+1)</f>
        <v>4</v>
      </c>
      <c r="E450" s="20" t="str">
        <f aca="false">IF($A450&gt;PARAMETROS!$C$33,"",P449)</f>
        <v/>
      </c>
      <c r="F450" s="21" t="str">
        <f aca="false">IF($A450&gt;PARAMETROS!$C$33,"",PARAMETROS!$C$38)</f>
        <v/>
      </c>
      <c r="G450" s="20" t="str">
        <f aca="false">IF($A450&gt;PARAMETROS!$C$33,"",E450*F450)</f>
        <v/>
      </c>
      <c r="H450" s="20" t="str">
        <f aca="false">IF($A450&gt;PARAMETROS!$C$33,"",E450*PARAMETROS!$C$39)</f>
        <v/>
      </c>
      <c r="I450" s="20" t="str">
        <f aca="false">IF($A450&gt;PARAMETROS!$C$33,"",G450-H450)</f>
        <v/>
      </c>
      <c r="J450" s="20" t="str">
        <f aca="false">IF($A450&gt;PARAMETROS!$C$33,"",PARAMETROS!$C$9*(1+PARAMETROS!$C$17)^(B450-1))</f>
        <v/>
      </c>
      <c r="K450" s="20" t="str">
        <f aca="false">IF($A450&gt;PARAMETROS!$C$33,"",K449*(1+PARAMETROS!$C$36))</f>
        <v/>
      </c>
      <c r="L450" s="20" t="str">
        <f aca="false">IF($A450&gt;PARAMETROS!$C$33,"",L449*(1+PARAMETROS!$C$37)*(1+M450))</f>
        <v/>
      </c>
      <c r="M450" s="21" t="str">
        <f aca="false">IF($A450&gt;PARAMETROS!$C$33,"",IF(C450&lt;70,PARAMETROS!$C$40,IF(C450&lt;75,PARAMETROS!$C$41,IF(C450&lt;80,PARAMETROS!$C$42,IF(C450&lt;85,PARAMETROS!$C$43,IF(C450&lt;90,PARAMETROS!$C$44,PARAMETROS!$C$45))))))</f>
        <v/>
      </c>
      <c r="N450" s="20" t="str">
        <f aca="false">IF($A450&gt;PARAMETROS!$C$33,"",K450+L450)</f>
        <v/>
      </c>
      <c r="O450" s="20" t="str">
        <f aca="false">IF($A450&gt;PARAMETROS!$C$33,"",I450+J450-N450)</f>
        <v/>
      </c>
      <c r="P450" s="20" t="str">
        <f aca="false">IF($A450&gt;PARAMETROS!$C$33,"",MAX(E450+I450+J450-N450,0))</f>
        <v/>
      </c>
      <c r="Q450" s="22" t="str">
        <f aca="false">IF($A450&gt;PARAMETROS!$C$33,"",IF(P450&lt;=0,"AGOTADO","OK"))</f>
        <v/>
      </c>
    </row>
    <row r="451" customFormat="false" ht="15" hidden="false" customHeight="false" outlineLevel="0" collapsed="false">
      <c r="A451" s="19" t="n">
        <f aca="false">A450+1</f>
        <v>449</v>
      </c>
      <c r="B451" s="19" t="n">
        <f aca="false">IF($A451="","",ROUNDUP($A451/12,0))</f>
        <v>38</v>
      </c>
      <c r="C451" s="19" t="n">
        <f aca="false">IF($A451="","",PARAMETROS!$C$6+INT(($A451-1)/12))</f>
        <v>102</v>
      </c>
      <c r="D451" s="19" t="n">
        <f aca="false">IF($A451="","",MOD($A451-1,12)+1)</f>
        <v>5</v>
      </c>
      <c r="E451" s="20" t="str">
        <f aca="false">IF($A451&gt;PARAMETROS!$C$33,"",P450)</f>
        <v/>
      </c>
      <c r="F451" s="21" t="str">
        <f aca="false">IF($A451&gt;PARAMETROS!$C$33,"",PARAMETROS!$C$38)</f>
        <v/>
      </c>
      <c r="G451" s="20" t="str">
        <f aca="false">IF($A451&gt;PARAMETROS!$C$33,"",E451*F451)</f>
        <v/>
      </c>
      <c r="H451" s="20" t="str">
        <f aca="false">IF($A451&gt;PARAMETROS!$C$33,"",E451*PARAMETROS!$C$39)</f>
        <v/>
      </c>
      <c r="I451" s="20" t="str">
        <f aca="false">IF($A451&gt;PARAMETROS!$C$33,"",G451-H451)</f>
        <v/>
      </c>
      <c r="J451" s="20" t="str">
        <f aca="false">IF($A451&gt;PARAMETROS!$C$33,"",PARAMETROS!$C$9*(1+PARAMETROS!$C$17)^(B451-1))</f>
        <v/>
      </c>
      <c r="K451" s="20" t="str">
        <f aca="false">IF($A451&gt;PARAMETROS!$C$33,"",K450*(1+PARAMETROS!$C$36))</f>
        <v/>
      </c>
      <c r="L451" s="20" t="str">
        <f aca="false">IF($A451&gt;PARAMETROS!$C$33,"",L450*(1+PARAMETROS!$C$37)*(1+M451))</f>
        <v/>
      </c>
      <c r="M451" s="21" t="str">
        <f aca="false">IF($A451&gt;PARAMETROS!$C$33,"",IF(C451&lt;70,PARAMETROS!$C$40,IF(C451&lt;75,PARAMETROS!$C$41,IF(C451&lt;80,PARAMETROS!$C$42,IF(C451&lt;85,PARAMETROS!$C$43,IF(C451&lt;90,PARAMETROS!$C$44,PARAMETROS!$C$45))))))</f>
        <v/>
      </c>
      <c r="N451" s="20" t="str">
        <f aca="false">IF($A451&gt;PARAMETROS!$C$33,"",K451+L451)</f>
        <v/>
      </c>
      <c r="O451" s="20" t="str">
        <f aca="false">IF($A451&gt;PARAMETROS!$C$33,"",I451+J451-N451)</f>
        <v/>
      </c>
      <c r="P451" s="20" t="str">
        <f aca="false">IF($A451&gt;PARAMETROS!$C$33,"",MAX(E451+I451+J451-N451,0))</f>
        <v/>
      </c>
      <c r="Q451" s="22" t="str">
        <f aca="false">IF($A451&gt;PARAMETROS!$C$33,"",IF(P451&lt;=0,"AGOTADO","OK"))</f>
        <v/>
      </c>
    </row>
    <row r="452" customFormat="false" ht="15" hidden="false" customHeight="false" outlineLevel="0" collapsed="false">
      <c r="A452" s="19" t="n">
        <f aca="false">A451+1</f>
        <v>450</v>
      </c>
      <c r="B452" s="19" t="n">
        <f aca="false">IF($A452="","",ROUNDUP($A452/12,0))</f>
        <v>38</v>
      </c>
      <c r="C452" s="19" t="n">
        <f aca="false">IF($A452="","",PARAMETROS!$C$6+INT(($A452-1)/12))</f>
        <v>102</v>
      </c>
      <c r="D452" s="19" t="n">
        <f aca="false">IF($A452="","",MOD($A452-1,12)+1)</f>
        <v>6</v>
      </c>
      <c r="E452" s="20" t="str">
        <f aca="false">IF($A452&gt;PARAMETROS!$C$33,"",P451)</f>
        <v/>
      </c>
      <c r="F452" s="21" t="str">
        <f aca="false">IF($A452&gt;PARAMETROS!$C$33,"",PARAMETROS!$C$38)</f>
        <v/>
      </c>
      <c r="G452" s="20" t="str">
        <f aca="false">IF($A452&gt;PARAMETROS!$C$33,"",E452*F452)</f>
        <v/>
      </c>
      <c r="H452" s="20" t="str">
        <f aca="false">IF($A452&gt;PARAMETROS!$C$33,"",E452*PARAMETROS!$C$39)</f>
        <v/>
      </c>
      <c r="I452" s="20" t="str">
        <f aca="false">IF($A452&gt;PARAMETROS!$C$33,"",G452-H452)</f>
        <v/>
      </c>
      <c r="J452" s="20" t="str">
        <f aca="false">IF($A452&gt;PARAMETROS!$C$33,"",PARAMETROS!$C$9*(1+PARAMETROS!$C$17)^(B452-1))</f>
        <v/>
      </c>
      <c r="K452" s="20" t="str">
        <f aca="false">IF($A452&gt;PARAMETROS!$C$33,"",K451*(1+PARAMETROS!$C$36))</f>
        <v/>
      </c>
      <c r="L452" s="20" t="str">
        <f aca="false">IF($A452&gt;PARAMETROS!$C$33,"",L451*(1+PARAMETROS!$C$37)*(1+M452))</f>
        <v/>
      </c>
      <c r="M452" s="21" t="str">
        <f aca="false">IF($A452&gt;PARAMETROS!$C$33,"",IF(C452&lt;70,PARAMETROS!$C$40,IF(C452&lt;75,PARAMETROS!$C$41,IF(C452&lt;80,PARAMETROS!$C$42,IF(C452&lt;85,PARAMETROS!$C$43,IF(C452&lt;90,PARAMETROS!$C$44,PARAMETROS!$C$45))))))</f>
        <v/>
      </c>
      <c r="N452" s="20" t="str">
        <f aca="false">IF($A452&gt;PARAMETROS!$C$33,"",K452+L452)</f>
        <v/>
      </c>
      <c r="O452" s="20" t="str">
        <f aca="false">IF($A452&gt;PARAMETROS!$C$33,"",I452+J452-N452)</f>
        <v/>
      </c>
      <c r="P452" s="20" t="str">
        <f aca="false">IF($A452&gt;PARAMETROS!$C$33,"",MAX(E452+I452+J452-N452,0))</f>
        <v/>
      </c>
      <c r="Q452" s="22" t="str">
        <f aca="false">IF($A452&gt;PARAMETROS!$C$33,"",IF(P452&lt;=0,"AGOTADO","OK"))</f>
        <v/>
      </c>
    </row>
    <row r="453" customFormat="false" ht="15" hidden="false" customHeight="false" outlineLevel="0" collapsed="false">
      <c r="A453" s="19" t="n">
        <f aca="false">A452+1</f>
        <v>451</v>
      </c>
      <c r="B453" s="19" t="n">
        <f aca="false">IF($A453="","",ROUNDUP($A453/12,0))</f>
        <v>38</v>
      </c>
      <c r="C453" s="19" t="n">
        <f aca="false">IF($A453="","",PARAMETROS!$C$6+INT(($A453-1)/12))</f>
        <v>102</v>
      </c>
      <c r="D453" s="19" t="n">
        <f aca="false">IF($A453="","",MOD($A453-1,12)+1)</f>
        <v>7</v>
      </c>
      <c r="E453" s="20" t="str">
        <f aca="false">IF($A453&gt;PARAMETROS!$C$33,"",P452)</f>
        <v/>
      </c>
      <c r="F453" s="21" t="str">
        <f aca="false">IF($A453&gt;PARAMETROS!$C$33,"",PARAMETROS!$C$38)</f>
        <v/>
      </c>
      <c r="G453" s="20" t="str">
        <f aca="false">IF($A453&gt;PARAMETROS!$C$33,"",E453*F453)</f>
        <v/>
      </c>
      <c r="H453" s="20" t="str">
        <f aca="false">IF($A453&gt;PARAMETROS!$C$33,"",E453*PARAMETROS!$C$39)</f>
        <v/>
      </c>
      <c r="I453" s="20" t="str">
        <f aca="false">IF($A453&gt;PARAMETROS!$C$33,"",G453-H453)</f>
        <v/>
      </c>
      <c r="J453" s="20" t="str">
        <f aca="false">IF($A453&gt;PARAMETROS!$C$33,"",PARAMETROS!$C$9*(1+PARAMETROS!$C$17)^(B453-1))</f>
        <v/>
      </c>
      <c r="K453" s="20" t="str">
        <f aca="false">IF($A453&gt;PARAMETROS!$C$33,"",K452*(1+PARAMETROS!$C$36))</f>
        <v/>
      </c>
      <c r="L453" s="20" t="str">
        <f aca="false">IF($A453&gt;PARAMETROS!$C$33,"",L452*(1+PARAMETROS!$C$37)*(1+M453))</f>
        <v/>
      </c>
      <c r="M453" s="21" t="str">
        <f aca="false">IF($A453&gt;PARAMETROS!$C$33,"",IF(C453&lt;70,PARAMETROS!$C$40,IF(C453&lt;75,PARAMETROS!$C$41,IF(C453&lt;80,PARAMETROS!$C$42,IF(C453&lt;85,PARAMETROS!$C$43,IF(C453&lt;90,PARAMETROS!$C$44,PARAMETROS!$C$45))))))</f>
        <v/>
      </c>
      <c r="N453" s="20" t="str">
        <f aca="false">IF($A453&gt;PARAMETROS!$C$33,"",K453+L453)</f>
        <v/>
      </c>
      <c r="O453" s="20" t="str">
        <f aca="false">IF($A453&gt;PARAMETROS!$C$33,"",I453+J453-N453)</f>
        <v/>
      </c>
      <c r="P453" s="20" t="str">
        <f aca="false">IF($A453&gt;PARAMETROS!$C$33,"",MAX(E453+I453+J453-N453,0))</f>
        <v/>
      </c>
      <c r="Q453" s="22" t="str">
        <f aca="false">IF($A453&gt;PARAMETROS!$C$33,"",IF(P453&lt;=0,"AGOTADO","OK"))</f>
        <v/>
      </c>
    </row>
    <row r="454" customFormat="false" ht="15" hidden="false" customHeight="false" outlineLevel="0" collapsed="false">
      <c r="A454" s="19" t="n">
        <f aca="false">A453+1</f>
        <v>452</v>
      </c>
      <c r="B454" s="19" t="n">
        <f aca="false">IF($A454="","",ROUNDUP($A454/12,0))</f>
        <v>38</v>
      </c>
      <c r="C454" s="19" t="n">
        <f aca="false">IF($A454="","",PARAMETROS!$C$6+INT(($A454-1)/12))</f>
        <v>102</v>
      </c>
      <c r="D454" s="19" t="n">
        <f aca="false">IF($A454="","",MOD($A454-1,12)+1)</f>
        <v>8</v>
      </c>
      <c r="E454" s="20" t="str">
        <f aca="false">IF($A454&gt;PARAMETROS!$C$33,"",P453)</f>
        <v/>
      </c>
      <c r="F454" s="21" t="str">
        <f aca="false">IF($A454&gt;PARAMETROS!$C$33,"",PARAMETROS!$C$38)</f>
        <v/>
      </c>
      <c r="G454" s="20" t="str">
        <f aca="false">IF($A454&gt;PARAMETROS!$C$33,"",E454*F454)</f>
        <v/>
      </c>
      <c r="H454" s="20" t="str">
        <f aca="false">IF($A454&gt;PARAMETROS!$C$33,"",E454*PARAMETROS!$C$39)</f>
        <v/>
      </c>
      <c r="I454" s="20" t="str">
        <f aca="false">IF($A454&gt;PARAMETROS!$C$33,"",G454-H454)</f>
        <v/>
      </c>
      <c r="J454" s="20" t="str">
        <f aca="false">IF($A454&gt;PARAMETROS!$C$33,"",PARAMETROS!$C$9*(1+PARAMETROS!$C$17)^(B454-1))</f>
        <v/>
      </c>
      <c r="K454" s="20" t="str">
        <f aca="false">IF($A454&gt;PARAMETROS!$C$33,"",K453*(1+PARAMETROS!$C$36))</f>
        <v/>
      </c>
      <c r="L454" s="20" t="str">
        <f aca="false">IF($A454&gt;PARAMETROS!$C$33,"",L453*(1+PARAMETROS!$C$37)*(1+M454))</f>
        <v/>
      </c>
      <c r="M454" s="21" t="str">
        <f aca="false">IF($A454&gt;PARAMETROS!$C$33,"",IF(C454&lt;70,PARAMETROS!$C$40,IF(C454&lt;75,PARAMETROS!$C$41,IF(C454&lt;80,PARAMETROS!$C$42,IF(C454&lt;85,PARAMETROS!$C$43,IF(C454&lt;90,PARAMETROS!$C$44,PARAMETROS!$C$45))))))</f>
        <v/>
      </c>
      <c r="N454" s="20" t="str">
        <f aca="false">IF($A454&gt;PARAMETROS!$C$33,"",K454+L454)</f>
        <v/>
      </c>
      <c r="O454" s="20" t="str">
        <f aca="false">IF($A454&gt;PARAMETROS!$C$33,"",I454+J454-N454)</f>
        <v/>
      </c>
      <c r="P454" s="20" t="str">
        <f aca="false">IF($A454&gt;PARAMETROS!$C$33,"",MAX(E454+I454+J454-N454,0))</f>
        <v/>
      </c>
      <c r="Q454" s="22" t="str">
        <f aca="false">IF($A454&gt;PARAMETROS!$C$33,"",IF(P454&lt;=0,"AGOTADO","OK"))</f>
        <v/>
      </c>
    </row>
    <row r="455" customFormat="false" ht="15" hidden="false" customHeight="false" outlineLevel="0" collapsed="false">
      <c r="A455" s="19" t="n">
        <f aca="false">A454+1</f>
        <v>453</v>
      </c>
      <c r="B455" s="19" t="n">
        <f aca="false">IF($A455="","",ROUNDUP($A455/12,0))</f>
        <v>38</v>
      </c>
      <c r="C455" s="19" t="n">
        <f aca="false">IF($A455="","",PARAMETROS!$C$6+INT(($A455-1)/12))</f>
        <v>102</v>
      </c>
      <c r="D455" s="19" t="n">
        <f aca="false">IF($A455="","",MOD($A455-1,12)+1)</f>
        <v>9</v>
      </c>
      <c r="E455" s="20" t="str">
        <f aca="false">IF($A455&gt;PARAMETROS!$C$33,"",P454)</f>
        <v/>
      </c>
      <c r="F455" s="21" t="str">
        <f aca="false">IF($A455&gt;PARAMETROS!$C$33,"",PARAMETROS!$C$38)</f>
        <v/>
      </c>
      <c r="G455" s="20" t="str">
        <f aca="false">IF($A455&gt;PARAMETROS!$C$33,"",E455*F455)</f>
        <v/>
      </c>
      <c r="H455" s="20" t="str">
        <f aca="false">IF($A455&gt;PARAMETROS!$C$33,"",E455*PARAMETROS!$C$39)</f>
        <v/>
      </c>
      <c r="I455" s="20" t="str">
        <f aca="false">IF($A455&gt;PARAMETROS!$C$33,"",G455-H455)</f>
        <v/>
      </c>
      <c r="J455" s="20" t="str">
        <f aca="false">IF($A455&gt;PARAMETROS!$C$33,"",PARAMETROS!$C$9*(1+PARAMETROS!$C$17)^(B455-1))</f>
        <v/>
      </c>
      <c r="K455" s="20" t="str">
        <f aca="false">IF($A455&gt;PARAMETROS!$C$33,"",K454*(1+PARAMETROS!$C$36))</f>
        <v/>
      </c>
      <c r="L455" s="20" t="str">
        <f aca="false">IF($A455&gt;PARAMETROS!$C$33,"",L454*(1+PARAMETROS!$C$37)*(1+M455))</f>
        <v/>
      </c>
      <c r="M455" s="21" t="str">
        <f aca="false">IF($A455&gt;PARAMETROS!$C$33,"",IF(C455&lt;70,PARAMETROS!$C$40,IF(C455&lt;75,PARAMETROS!$C$41,IF(C455&lt;80,PARAMETROS!$C$42,IF(C455&lt;85,PARAMETROS!$C$43,IF(C455&lt;90,PARAMETROS!$C$44,PARAMETROS!$C$45))))))</f>
        <v/>
      </c>
      <c r="N455" s="20" t="str">
        <f aca="false">IF($A455&gt;PARAMETROS!$C$33,"",K455+L455)</f>
        <v/>
      </c>
      <c r="O455" s="20" t="str">
        <f aca="false">IF($A455&gt;PARAMETROS!$C$33,"",I455+J455-N455)</f>
        <v/>
      </c>
      <c r="P455" s="20" t="str">
        <f aca="false">IF($A455&gt;PARAMETROS!$C$33,"",MAX(E455+I455+J455-N455,0))</f>
        <v/>
      </c>
      <c r="Q455" s="22" t="str">
        <f aca="false">IF($A455&gt;PARAMETROS!$C$33,"",IF(P455&lt;=0,"AGOTADO","OK"))</f>
        <v/>
      </c>
    </row>
    <row r="456" customFormat="false" ht="15" hidden="false" customHeight="false" outlineLevel="0" collapsed="false">
      <c r="A456" s="19" t="n">
        <f aca="false">A455+1</f>
        <v>454</v>
      </c>
      <c r="B456" s="19" t="n">
        <f aca="false">IF($A456="","",ROUNDUP($A456/12,0))</f>
        <v>38</v>
      </c>
      <c r="C456" s="19" t="n">
        <f aca="false">IF($A456="","",PARAMETROS!$C$6+INT(($A456-1)/12))</f>
        <v>102</v>
      </c>
      <c r="D456" s="19" t="n">
        <f aca="false">IF($A456="","",MOD($A456-1,12)+1)</f>
        <v>10</v>
      </c>
      <c r="E456" s="20" t="str">
        <f aca="false">IF($A456&gt;PARAMETROS!$C$33,"",P455)</f>
        <v/>
      </c>
      <c r="F456" s="21" t="str">
        <f aca="false">IF($A456&gt;PARAMETROS!$C$33,"",PARAMETROS!$C$38)</f>
        <v/>
      </c>
      <c r="G456" s="20" t="str">
        <f aca="false">IF($A456&gt;PARAMETROS!$C$33,"",E456*F456)</f>
        <v/>
      </c>
      <c r="H456" s="20" t="str">
        <f aca="false">IF($A456&gt;PARAMETROS!$C$33,"",E456*PARAMETROS!$C$39)</f>
        <v/>
      </c>
      <c r="I456" s="20" t="str">
        <f aca="false">IF($A456&gt;PARAMETROS!$C$33,"",G456-H456)</f>
        <v/>
      </c>
      <c r="J456" s="20" t="str">
        <f aca="false">IF($A456&gt;PARAMETROS!$C$33,"",PARAMETROS!$C$9*(1+PARAMETROS!$C$17)^(B456-1))</f>
        <v/>
      </c>
      <c r="K456" s="20" t="str">
        <f aca="false">IF($A456&gt;PARAMETROS!$C$33,"",K455*(1+PARAMETROS!$C$36))</f>
        <v/>
      </c>
      <c r="L456" s="20" t="str">
        <f aca="false">IF($A456&gt;PARAMETROS!$C$33,"",L455*(1+PARAMETROS!$C$37)*(1+M456))</f>
        <v/>
      </c>
      <c r="M456" s="21" t="str">
        <f aca="false">IF($A456&gt;PARAMETROS!$C$33,"",IF(C456&lt;70,PARAMETROS!$C$40,IF(C456&lt;75,PARAMETROS!$C$41,IF(C456&lt;80,PARAMETROS!$C$42,IF(C456&lt;85,PARAMETROS!$C$43,IF(C456&lt;90,PARAMETROS!$C$44,PARAMETROS!$C$45))))))</f>
        <v/>
      </c>
      <c r="N456" s="20" t="str">
        <f aca="false">IF($A456&gt;PARAMETROS!$C$33,"",K456+L456)</f>
        <v/>
      </c>
      <c r="O456" s="20" t="str">
        <f aca="false">IF($A456&gt;PARAMETROS!$C$33,"",I456+J456-N456)</f>
        <v/>
      </c>
      <c r="P456" s="20" t="str">
        <f aca="false">IF($A456&gt;PARAMETROS!$C$33,"",MAX(E456+I456+J456-N456,0))</f>
        <v/>
      </c>
      <c r="Q456" s="22" t="str">
        <f aca="false">IF($A456&gt;PARAMETROS!$C$33,"",IF(P456&lt;=0,"AGOTADO","OK"))</f>
        <v/>
      </c>
    </row>
    <row r="457" customFormat="false" ht="15" hidden="false" customHeight="false" outlineLevel="0" collapsed="false">
      <c r="A457" s="19" t="n">
        <f aca="false">A456+1</f>
        <v>455</v>
      </c>
      <c r="B457" s="19" t="n">
        <f aca="false">IF($A457="","",ROUNDUP($A457/12,0))</f>
        <v>38</v>
      </c>
      <c r="C457" s="19" t="n">
        <f aca="false">IF($A457="","",PARAMETROS!$C$6+INT(($A457-1)/12))</f>
        <v>102</v>
      </c>
      <c r="D457" s="19" t="n">
        <f aca="false">IF($A457="","",MOD($A457-1,12)+1)</f>
        <v>11</v>
      </c>
      <c r="E457" s="20" t="str">
        <f aca="false">IF($A457&gt;PARAMETROS!$C$33,"",P456)</f>
        <v/>
      </c>
      <c r="F457" s="21" t="str">
        <f aca="false">IF($A457&gt;PARAMETROS!$C$33,"",PARAMETROS!$C$38)</f>
        <v/>
      </c>
      <c r="G457" s="20" t="str">
        <f aca="false">IF($A457&gt;PARAMETROS!$C$33,"",E457*F457)</f>
        <v/>
      </c>
      <c r="H457" s="20" t="str">
        <f aca="false">IF($A457&gt;PARAMETROS!$C$33,"",E457*PARAMETROS!$C$39)</f>
        <v/>
      </c>
      <c r="I457" s="20" t="str">
        <f aca="false">IF($A457&gt;PARAMETROS!$C$33,"",G457-H457)</f>
        <v/>
      </c>
      <c r="J457" s="20" t="str">
        <f aca="false">IF($A457&gt;PARAMETROS!$C$33,"",PARAMETROS!$C$9*(1+PARAMETROS!$C$17)^(B457-1))</f>
        <v/>
      </c>
      <c r="K457" s="20" t="str">
        <f aca="false">IF($A457&gt;PARAMETROS!$C$33,"",K456*(1+PARAMETROS!$C$36))</f>
        <v/>
      </c>
      <c r="L457" s="20" t="str">
        <f aca="false">IF($A457&gt;PARAMETROS!$C$33,"",L456*(1+PARAMETROS!$C$37)*(1+M457))</f>
        <v/>
      </c>
      <c r="M457" s="21" t="str">
        <f aca="false">IF($A457&gt;PARAMETROS!$C$33,"",IF(C457&lt;70,PARAMETROS!$C$40,IF(C457&lt;75,PARAMETROS!$C$41,IF(C457&lt;80,PARAMETROS!$C$42,IF(C457&lt;85,PARAMETROS!$C$43,IF(C457&lt;90,PARAMETROS!$C$44,PARAMETROS!$C$45))))))</f>
        <v/>
      </c>
      <c r="N457" s="20" t="str">
        <f aca="false">IF($A457&gt;PARAMETROS!$C$33,"",K457+L457)</f>
        <v/>
      </c>
      <c r="O457" s="20" t="str">
        <f aca="false">IF($A457&gt;PARAMETROS!$C$33,"",I457+J457-N457)</f>
        <v/>
      </c>
      <c r="P457" s="20" t="str">
        <f aca="false">IF($A457&gt;PARAMETROS!$C$33,"",MAX(E457+I457+J457-N457,0))</f>
        <v/>
      </c>
      <c r="Q457" s="22" t="str">
        <f aca="false">IF($A457&gt;PARAMETROS!$C$33,"",IF(P457&lt;=0,"AGOTADO","OK"))</f>
        <v/>
      </c>
    </row>
    <row r="458" customFormat="false" ht="15" hidden="false" customHeight="false" outlineLevel="0" collapsed="false">
      <c r="A458" s="19" t="n">
        <f aca="false">A457+1</f>
        <v>456</v>
      </c>
      <c r="B458" s="19" t="n">
        <f aca="false">IF($A458="","",ROUNDUP($A458/12,0))</f>
        <v>38</v>
      </c>
      <c r="C458" s="19" t="n">
        <f aca="false">IF($A458="","",PARAMETROS!$C$6+INT(($A458-1)/12))</f>
        <v>102</v>
      </c>
      <c r="D458" s="19" t="n">
        <f aca="false">IF($A458="","",MOD($A458-1,12)+1)</f>
        <v>12</v>
      </c>
      <c r="E458" s="20" t="str">
        <f aca="false">IF($A458&gt;PARAMETROS!$C$33,"",P457)</f>
        <v/>
      </c>
      <c r="F458" s="21" t="str">
        <f aca="false">IF($A458&gt;PARAMETROS!$C$33,"",PARAMETROS!$C$38)</f>
        <v/>
      </c>
      <c r="G458" s="20" t="str">
        <f aca="false">IF($A458&gt;PARAMETROS!$C$33,"",E458*F458)</f>
        <v/>
      </c>
      <c r="H458" s="20" t="str">
        <f aca="false">IF($A458&gt;PARAMETROS!$C$33,"",E458*PARAMETROS!$C$39)</f>
        <v/>
      </c>
      <c r="I458" s="20" t="str">
        <f aca="false">IF($A458&gt;PARAMETROS!$C$33,"",G458-H458)</f>
        <v/>
      </c>
      <c r="J458" s="20" t="str">
        <f aca="false">IF($A458&gt;PARAMETROS!$C$33,"",PARAMETROS!$C$9*(1+PARAMETROS!$C$17)^(B458-1))</f>
        <v/>
      </c>
      <c r="K458" s="20" t="str">
        <f aca="false">IF($A458&gt;PARAMETROS!$C$33,"",K457*(1+PARAMETROS!$C$36))</f>
        <v/>
      </c>
      <c r="L458" s="20" t="str">
        <f aca="false">IF($A458&gt;PARAMETROS!$C$33,"",L457*(1+PARAMETROS!$C$37)*(1+M458))</f>
        <v/>
      </c>
      <c r="M458" s="21" t="str">
        <f aca="false">IF($A458&gt;PARAMETROS!$C$33,"",IF(C458&lt;70,PARAMETROS!$C$40,IF(C458&lt;75,PARAMETROS!$C$41,IF(C458&lt;80,PARAMETROS!$C$42,IF(C458&lt;85,PARAMETROS!$C$43,IF(C458&lt;90,PARAMETROS!$C$44,PARAMETROS!$C$45))))))</f>
        <v/>
      </c>
      <c r="N458" s="20" t="str">
        <f aca="false">IF($A458&gt;PARAMETROS!$C$33,"",K458+L458)</f>
        <v/>
      </c>
      <c r="O458" s="20" t="str">
        <f aca="false">IF($A458&gt;PARAMETROS!$C$33,"",I458+J458-N458)</f>
        <v/>
      </c>
      <c r="P458" s="20" t="str">
        <f aca="false">IF($A458&gt;PARAMETROS!$C$33,"",MAX(E458+I458+J458-N458,0))</f>
        <v/>
      </c>
      <c r="Q458" s="22" t="str">
        <f aca="false">IF($A458&gt;PARAMETROS!$C$33,"",IF(P458&lt;=0,"AGOTADO","OK"))</f>
        <v/>
      </c>
    </row>
    <row r="459" customFormat="false" ht="15" hidden="false" customHeight="false" outlineLevel="0" collapsed="false">
      <c r="A459" s="15" t="n">
        <f aca="false">A458+1</f>
        <v>457</v>
      </c>
      <c r="B459" s="15" t="n">
        <f aca="false">IF($A459="","",ROUNDUP($A459/12,0))</f>
        <v>39</v>
      </c>
      <c r="C459" s="15" t="n">
        <f aca="false">IF($A459="","",PARAMETROS!$C$6+INT(($A459-1)/12))</f>
        <v>103</v>
      </c>
      <c r="D459" s="15" t="n">
        <f aca="false">IF($A459="","",MOD($A459-1,12)+1)</f>
        <v>1</v>
      </c>
      <c r="E459" s="16" t="str">
        <f aca="false">IF($A459&gt;PARAMETROS!$C$33,"",P458)</f>
        <v/>
      </c>
      <c r="F459" s="17" t="str">
        <f aca="false">IF($A459&gt;PARAMETROS!$C$33,"",PARAMETROS!$C$38)</f>
        <v/>
      </c>
      <c r="G459" s="16" t="str">
        <f aca="false">IF($A459&gt;PARAMETROS!$C$33,"",E459*F459)</f>
        <v/>
      </c>
      <c r="H459" s="16" t="str">
        <f aca="false">IF($A459&gt;PARAMETROS!$C$33,"",E459*PARAMETROS!$C$39)</f>
        <v/>
      </c>
      <c r="I459" s="16" t="str">
        <f aca="false">IF($A459&gt;PARAMETROS!$C$33,"",G459-H459)</f>
        <v/>
      </c>
      <c r="J459" s="16" t="str">
        <f aca="false">IF($A459&gt;PARAMETROS!$C$33,"",PARAMETROS!$C$9*(1+PARAMETROS!$C$17)^(B459-1))</f>
        <v/>
      </c>
      <c r="K459" s="16" t="str">
        <f aca="false">IF($A459&gt;PARAMETROS!$C$33,"",K458*(1+PARAMETROS!$C$36))</f>
        <v/>
      </c>
      <c r="L459" s="16" t="str">
        <f aca="false">IF($A459&gt;PARAMETROS!$C$33,"",L458*(1+PARAMETROS!$C$37)*(1+M459))</f>
        <v/>
      </c>
      <c r="M459" s="17" t="str">
        <f aca="false">IF($A459&gt;PARAMETROS!$C$33,"",IF(C459&lt;70,PARAMETROS!$C$40,IF(C459&lt;75,PARAMETROS!$C$41,IF(C459&lt;80,PARAMETROS!$C$42,IF(C459&lt;85,PARAMETROS!$C$43,IF(C459&lt;90,PARAMETROS!$C$44,PARAMETROS!$C$45))))))</f>
        <v/>
      </c>
      <c r="N459" s="16" t="str">
        <f aca="false">IF($A459&gt;PARAMETROS!$C$33,"",K459+L459)</f>
        <v/>
      </c>
      <c r="O459" s="16" t="str">
        <f aca="false">IF($A459&gt;PARAMETROS!$C$33,"",I459+J459-N459)</f>
        <v/>
      </c>
      <c r="P459" s="16" t="str">
        <f aca="false">IF($A459&gt;PARAMETROS!$C$33,"",MAX(E459+I459+J459-N459,0))</f>
        <v/>
      </c>
      <c r="Q459" s="18" t="str">
        <f aca="false">IF($A459&gt;PARAMETROS!$C$33,"",IF(P459&lt;=0,"AGOTADO","OK"))</f>
        <v/>
      </c>
    </row>
    <row r="460" customFormat="false" ht="15" hidden="false" customHeight="false" outlineLevel="0" collapsed="false">
      <c r="A460" s="15" t="n">
        <f aca="false">A459+1</f>
        <v>458</v>
      </c>
      <c r="B460" s="15" t="n">
        <f aca="false">IF($A460="","",ROUNDUP($A460/12,0))</f>
        <v>39</v>
      </c>
      <c r="C460" s="15" t="n">
        <f aca="false">IF($A460="","",PARAMETROS!$C$6+INT(($A460-1)/12))</f>
        <v>103</v>
      </c>
      <c r="D460" s="15" t="n">
        <f aca="false">IF($A460="","",MOD($A460-1,12)+1)</f>
        <v>2</v>
      </c>
      <c r="E460" s="16" t="str">
        <f aca="false">IF($A460&gt;PARAMETROS!$C$33,"",P459)</f>
        <v/>
      </c>
      <c r="F460" s="17" t="str">
        <f aca="false">IF($A460&gt;PARAMETROS!$C$33,"",PARAMETROS!$C$38)</f>
        <v/>
      </c>
      <c r="G460" s="16" t="str">
        <f aca="false">IF($A460&gt;PARAMETROS!$C$33,"",E460*F460)</f>
        <v/>
      </c>
      <c r="H460" s="16" t="str">
        <f aca="false">IF($A460&gt;PARAMETROS!$C$33,"",E460*PARAMETROS!$C$39)</f>
        <v/>
      </c>
      <c r="I460" s="16" t="str">
        <f aca="false">IF($A460&gt;PARAMETROS!$C$33,"",G460-H460)</f>
        <v/>
      </c>
      <c r="J460" s="16" t="str">
        <f aca="false">IF($A460&gt;PARAMETROS!$C$33,"",PARAMETROS!$C$9*(1+PARAMETROS!$C$17)^(B460-1))</f>
        <v/>
      </c>
      <c r="K460" s="16" t="str">
        <f aca="false">IF($A460&gt;PARAMETROS!$C$33,"",K459*(1+PARAMETROS!$C$36))</f>
        <v/>
      </c>
      <c r="L460" s="16" t="str">
        <f aca="false">IF($A460&gt;PARAMETROS!$C$33,"",L459*(1+PARAMETROS!$C$37)*(1+M460))</f>
        <v/>
      </c>
      <c r="M460" s="17" t="str">
        <f aca="false">IF($A460&gt;PARAMETROS!$C$33,"",IF(C460&lt;70,PARAMETROS!$C$40,IF(C460&lt;75,PARAMETROS!$C$41,IF(C460&lt;80,PARAMETROS!$C$42,IF(C460&lt;85,PARAMETROS!$C$43,IF(C460&lt;90,PARAMETROS!$C$44,PARAMETROS!$C$45))))))</f>
        <v/>
      </c>
      <c r="N460" s="16" t="str">
        <f aca="false">IF($A460&gt;PARAMETROS!$C$33,"",K460+L460)</f>
        <v/>
      </c>
      <c r="O460" s="16" t="str">
        <f aca="false">IF($A460&gt;PARAMETROS!$C$33,"",I460+J460-N460)</f>
        <v/>
      </c>
      <c r="P460" s="16" t="str">
        <f aca="false">IF($A460&gt;PARAMETROS!$C$33,"",MAX(E460+I460+J460-N460,0))</f>
        <v/>
      </c>
      <c r="Q460" s="18" t="str">
        <f aca="false">IF($A460&gt;PARAMETROS!$C$33,"",IF(P460&lt;=0,"AGOTADO","OK"))</f>
        <v/>
      </c>
    </row>
    <row r="461" customFormat="false" ht="15" hidden="false" customHeight="false" outlineLevel="0" collapsed="false">
      <c r="A461" s="15" t="n">
        <f aca="false">A460+1</f>
        <v>459</v>
      </c>
      <c r="B461" s="15" t="n">
        <f aca="false">IF($A461="","",ROUNDUP($A461/12,0))</f>
        <v>39</v>
      </c>
      <c r="C461" s="15" t="n">
        <f aca="false">IF($A461="","",PARAMETROS!$C$6+INT(($A461-1)/12))</f>
        <v>103</v>
      </c>
      <c r="D461" s="15" t="n">
        <f aca="false">IF($A461="","",MOD($A461-1,12)+1)</f>
        <v>3</v>
      </c>
      <c r="E461" s="16" t="str">
        <f aca="false">IF($A461&gt;PARAMETROS!$C$33,"",P460)</f>
        <v/>
      </c>
      <c r="F461" s="17" t="str">
        <f aca="false">IF($A461&gt;PARAMETROS!$C$33,"",PARAMETROS!$C$38)</f>
        <v/>
      </c>
      <c r="G461" s="16" t="str">
        <f aca="false">IF($A461&gt;PARAMETROS!$C$33,"",E461*F461)</f>
        <v/>
      </c>
      <c r="H461" s="16" t="str">
        <f aca="false">IF($A461&gt;PARAMETROS!$C$33,"",E461*PARAMETROS!$C$39)</f>
        <v/>
      </c>
      <c r="I461" s="16" t="str">
        <f aca="false">IF($A461&gt;PARAMETROS!$C$33,"",G461-H461)</f>
        <v/>
      </c>
      <c r="J461" s="16" t="str">
        <f aca="false">IF($A461&gt;PARAMETROS!$C$33,"",PARAMETROS!$C$9*(1+PARAMETROS!$C$17)^(B461-1))</f>
        <v/>
      </c>
      <c r="K461" s="16" t="str">
        <f aca="false">IF($A461&gt;PARAMETROS!$C$33,"",K460*(1+PARAMETROS!$C$36))</f>
        <v/>
      </c>
      <c r="L461" s="16" t="str">
        <f aca="false">IF($A461&gt;PARAMETROS!$C$33,"",L460*(1+PARAMETROS!$C$37)*(1+M461))</f>
        <v/>
      </c>
      <c r="M461" s="17" t="str">
        <f aca="false">IF($A461&gt;PARAMETROS!$C$33,"",IF(C461&lt;70,PARAMETROS!$C$40,IF(C461&lt;75,PARAMETROS!$C$41,IF(C461&lt;80,PARAMETROS!$C$42,IF(C461&lt;85,PARAMETROS!$C$43,IF(C461&lt;90,PARAMETROS!$C$44,PARAMETROS!$C$45))))))</f>
        <v/>
      </c>
      <c r="N461" s="16" t="str">
        <f aca="false">IF($A461&gt;PARAMETROS!$C$33,"",K461+L461)</f>
        <v/>
      </c>
      <c r="O461" s="16" t="str">
        <f aca="false">IF($A461&gt;PARAMETROS!$C$33,"",I461+J461-N461)</f>
        <v/>
      </c>
      <c r="P461" s="16" t="str">
        <f aca="false">IF($A461&gt;PARAMETROS!$C$33,"",MAX(E461+I461+J461-N461,0))</f>
        <v/>
      </c>
      <c r="Q461" s="18" t="str">
        <f aca="false">IF($A461&gt;PARAMETROS!$C$33,"",IF(P461&lt;=0,"AGOTADO","OK"))</f>
        <v/>
      </c>
    </row>
    <row r="462" customFormat="false" ht="15" hidden="false" customHeight="false" outlineLevel="0" collapsed="false">
      <c r="A462" s="15" t="n">
        <f aca="false">A461+1</f>
        <v>460</v>
      </c>
      <c r="B462" s="15" t="n">
        <f aca="false">IF($A462="","",ROUNDUP($A462/12,0))</f>
        <v>39</v>
      </c>
      <c r="C462" s="15" t="n">
        <f aca="false">IF($A462="","",PARAMETROS!$C$6+INT(($A462-1)/12))</f>
        <v>103</v>
      </c>
      <c r="D462" s="15" t="n">
        <f aca="false">IF($A462="","",MOD($A462-1,12)+1)</f>
        <v>4</v>
      </c>
      <c r="E462" s="16" t="str">
        <f aca="false">IF($A462&gt;PARAMETROS!$C$33,"",P461)</f>
        <v/>
      </c>
      <c r="F462" s="17" t="str">
        <f aca="false">IF($A462&gt;PARAMETROS!$C$33,"",PARAMETROS!$C$38)</f>
        <v/>
      </c>
      <c r="G462" s="16" t="str">
        <f aca="false">IF($A462&gt;PARAMETROS!$C$33,"",E462*F462)</f>
        <v/>
      </c>
      <c r="H462" s="16" t="str">
        <f aca="false">IF($A462&gt;PARAMETROS!$C$33,"",E462*PARAMETROS!$C$39)</f>
        <v/>
      </c>
      <c r="I462" s="16" t="str">
        <f aca="false">IF($A462&gt;PARAMETROS!$C$33,"",G462-H462)</f>
        <v/>
      </c>
      <c r="J462" s="16" t="str">
        <f aca="false">IF($A462&gt;PARAMETROS!$C$33,"",PARAMETROS!$C$9*(1+PARAMETROS!$C$17)^(B462-1))</f>
        <v/>
      </c>
      <c r="K462" s="16" t="str">
        <f aca="false">IF($A462&gt;PARAMETROS!$C$33,"",K461*(1+PARAMETROS!$C$36))</f>
        <v/>
      </c>
      <c r="L462" s="16" t="str">
        <f aca="false">IF($A462&gt;PARAMETROS!$C$33,"",L461*(1+PARAMETROS!$C$37)*(1+M462))</f>
        <v/>
      </c>
      <c r="M462" s="17" t="str">
        <f aca="false">IF($A462&gt;PARAMETROS!$C$33,"",IF(C462&lt;70,PARAMETROS!$C$40,IF(C462&lt;75,PARAMETROS!$C$41,IF(C462&lt;80,PARAMETROS!$C$42,IF(C462&lt;85,PARAMETROS!$C$43,IF(C462&lt;90,PARAMETROS!$C$44,PARAMETROS!$C$45))))))</f>
        <v/>
      </c>
      <c r="N462" s="16" t="str">
        <f aca="false">IF($A462&gt;PARAMETROS!$C$33,"",K462+L462)</f>
        <v/>
      </c>
      <c r="O462" s="16" t="str">
        <f aca="false">IF($A462&gt;PARAMETROS!$C$33,"",I462+J462-N462)</f>
        <v/>
      </c>
      <c r="P462" s="16" t="str">
        <f aca="false">IF($A462&gt;PARAMETROS!$C$33,"",MAX(E462+I462+J462-N462,0))</f>
        <v/>
      </c>
      <c r="Q462" s="18" t="str">
        <f aca="false">IF($A462&gt;PARAMETROS!$C$33,"",IF(P462&lt;=0,"AGOTADO","OK"))</f>
        <v/>
      </c>
    </row>
    <row r="463" customFormat="false" ht="15" hidden="false" customHeight="false" outlineLevel="0" collapsed="false">
      <c r="A463" s="15" t="n">
        <f aca="false">A462+1</f>
        <v>461</v>
      </c>
      <c r="B463" s="15" t="n">
        <f aca="false">IF($A463="","",ROUNDUP($A463/12,0))</f>
        <v>39</v>
      </c>
      <c r="C463" s="15" t="n">
        <f aca="false">IF($A463="","",PARAMETROS!$C$6+INT(($A463-1)/12))</f>
        <v>103</v>
      </c>
      <c r="D463" s="15" t="n">
        <f aca="false">IF($A463="","",MOD($A463-1,12)+1)</f>
        <v>5</v>
      </c>
      <c r="E463" s="16" t="str">
        <f aca="false">IF($A463&gt;PARAMETROS!$C$33,"",P462)</f>
        <v/>
      </c>
      <c r="F463" s="17" t="str">
        <f aca="false">IF($A463&gt;PARAMETROS!$C$33,"",PARAMETROS!$C$38)</f>
        <v/>
      </c>
      <c r="G463" s="16" t="str">
        <f aca="false">IF($A463&gt;PARAMETROS!$C$33,"",E463*F463)</f>
        <v/>
      </c>
      <c r="H463" s="16" t="str">
        <f aca="false">IF($A463&gt;PARAMETROS!$C$33,"",E463*PARAMETROS!$C$39)</f>
        <v/>
      </c>
      <c r="I463" s="16" t="str">
        <f aca="false">IF($A463&gt;PARAMETROS!$C$33,"",G463-H463)</f>
        <v/>
      </c>
      <c r="J463" s="16" t="str">
        <f aca="false">IF($A463&gt;PARAMETROS!$C$33,"",PARAMETROS!$C$9*(1+PARAMETROS!$C$17)^(B463-1))</f>
        <v/>
      </c>
      <c r="K463" s="16" t="str">
        <f aca="false">IF($A463&gt;PARAMETROS!$C$33,"",K462*(1+PARAMETROS!$C$36))</f>
        <v/>
      </c>
      <c r="L463" s="16" t="str">
        <f aca="false">IF($A463&gt;PARAMETROS!$C$33,"",L462*(1+PARAMETROS!$C$37)*(1+M463))</f>
        <v/>
      </c>
      <c r="M463" s="17" t="str">
        <f aca="false">IF($A463&gt;PARAMETROS!$C$33,"",IF(C463&lt;70,PARAMETROS!$C$40,IF(C463&lt;75,PARAMETROS!$C$41,IF(C463&lt;80,PARAMETROS!$C$42,IF(C463&lt;85,PARAMETROS!$C$43,IF(C463&lt;90,PARAMETROS!$C$44,PARAMETROS!$C$45))))))</f>
        <v/>
      </c>
      <c r="N463" s="16" t="str">
        <f aca="false">IF($A463&gt;PARAMETROS!$C$33,"",K463+L463)</f>
        <v/>
      </c>
      <c r="O463" s="16" t="str">
        <f aca="false">IF($A463&gt;PARAMETROS!$C$33,"",I463+J463-N463)</f>
        <v/>
      </c>
      <c r="P463" s="16" t="str">
        <f aca="false">IF($A463&gt;PARAMETROS!$C$33,"",MAX(E463+I463+J463-N463,0))</f>
        <v/>
      </c>
      <c r="Q463" s="18" t="str">
        <f aca="false">IF($A463&gt;PARAMETROS!$C$33,"",IF(P463&lt;=0,"AGOTADO","OK"))</f>
        <v/>
      </c>
    </row>
    <row r="464" customFormat="false" ht="15" hidden="false" customHeight="false" outlineLevel="0" collapsed="false">
      <c r="A464" s="15" t="n">
        <f aca="false">A463+1</f>
        <v>462</v>
      </c>
      <c r="B464" s="15" t="n">
        <f aca="false">IF($A464="","",ROUNDUP($A464/12,0))</f>
        <v>39</v>
      </c>
      <c r="C464" s="15" t="n">
        <f aca="false">IF($A464="","",PARAMETROS!$C$6+INT(($A464-1)/12))</f>
        <v>103</v>
      </c>
      <c r="D464" s="15" t="n">
        <f aca="false">IF($A464="","",MOD($A464-1,12)+1)</f>
        <v>6</v>
      </c>
      <c r="E464" s="16" t="str">
        <f aca="false">IF($A464&gt;PARAMETROS!$C$33,"",P463)</f>
        <v/>
      </c>
      <c r="F464" s="17" t="str">
        <f aca="false">IF($A464&gt;PARAMETROS!$C$33,"",PARAMETROS!$C$38)</f>
        <v/>
      </c>
      <c r="G464" s="16" t="str">
        <f aca="false">IF($A464&gt;PARAMETROS!$C$33,"",E464*F464)</f>
        <v/>
      </c>
      <c r="H464" s="16" t="str">
        <f aca="false">IF($A464&gt;PARAMETROS!$C$33,"",E464*PARAMETROS!$C$39)</f>
        <v/>
      </c>
      <c r="I464" s="16" t="str">
        <f aca="false">IF($A464&gt;PARAMETROS!$C$33,"",G464-H464)</f>
        <v/>
      </c>
      <c r="J464" s="16" t="str">
        <f aca="false">IF($A464&gt;PARAMETROS!$C$33,"",PARAMETROS!$C$9*(1+PARAMETROS!$C$17)^(B464-1))</f>
        <v/>
      </c>
      <c r="K464" s="16" t="str">
        <f aca="false">IF($A464&gt;PARAMETROS!$C$33,"",K463*(1+PARAMETROS!$C$36))</f>
        <v/>
      </c>
      <c r="L464" s="16" t="str">
        <f aca="false">IF($A464&gt;PARAMETROS!$C$33,"",L463*(1+PARAMETROS!$C$37)*(1+M464))</f>
        <v/>
      </c>
      <c r="M464" s="17" t="str">
        <f aca="false">IF($A464&gt;PARAMETROS!$C$33,"",IF(C464&lt;70,PARAMETROS!$C$40,IF(C464&lt;75,PARAMETROS!$C$41,IF(C464&lt;80,PARAMETROS!$C$42,IF(C464&lt;85,PARAMETROS!$C$43,IF(C464&lt;90,PARAMETROS!$C$44,PARAMETROS!$C$45))))))</f>
        <v/>
      </c>
      <c r="N464" s="16" t="str">
        <f aca="false">IF($A464&gt;PARAMETROS!$C$33,"",K464+L464)</f>
        <v/>
      </c>
      <c r="O464" s="16" t="str">
        <f aca="false">IF($A464&gt;PARAMETROS!$C$33,"",I464+J464-N464)</f>
        <v/>
      </c>
      <c r="P464" s="16" t="str">
        <f aca="false">IF($A464&gt;PARAMETROS!$C$33,"",MAX(E464+I464+J464-N464,0))</f>
        <v/>
      </c>
      <c r="Q464" s="18" t="str">
        <f aca="false">IF($A464&gt;PARAMETROS!$C$33,"",IF(P464&lt;=0,"AGOTADO","OK"))</f>
        <v/>
      </c>
    </row>
    <row r="465" customFormat="false" ht="15" hidden="false" customHeight="false" outlineLevel="0" collapsed="false">
      <c r="A465" s="15" t="n">
        <f aca="false">A464+1</f>
        <v>463</v>
      </c>
      <c r="B465" s="15" t="n">
        <f aca="false">IF($A465="","",ROUNDUP($A465/12,0))</f>
        <v>39</v>
      </c>
      <c r="C465" s="15" t="n">
        <f aca="false">IF($A465="","",PARAMETROS!$C$6+INT(($A465-1)/12))</f>
        <v>103</v>
      </c>
      <c r="D465" s="15" t="n">
        <f aca="false">IF($A465="","",MOD($A465-1,12)+1)</f>
        <v>7</v>
      </c>
      <c r="E465" s="16" t="str">
        <f aca="false">IF($A465&gt;PARAMETROS!$C$33,"",P464)</f>
        <v/>
      </c>
      <c r="F465" s="17" t="str">
        <f aca="false">IF($A465&gt;PARAMETROS!$C$33,"",PARAMETROS!$C$38)</f>
        <v/>
      </c>
      <c r="G465" s="16" t="str">
        <f aca="false">IF($A465&gt;PARAMETROS!$C$33,"",E465*F465)</f>
        <v/>
      </c>
      <c r="H465" s="16" t="str">
        <f aca="false">IF($A465&gt;PARAMETROS!$C$33,"",E465*PARAMETROS!$C$39)</f>
        <v/>
      </c>
      <c r="I465" s="16" t="str">
        <f aca="false">IF($A465&gt;PARAMETROS!$C$33,"",G465-H465)</f>
        <v/>
      </c>
      <c r="J465" s="16" t="str">
        <f aca="false">IF($A465&gt;PARAMETROS!$C$33,"",PARAMETROS!$C$9*(1+PARAMETROS!$C$17)^(B465-1))</f>
        <v/>
      </c>
      <c r="K465" s="16" t="str">
        <f aca="false">IF($A465&gt;PARAMETROS!$C$33,"",K464*(1+PARAMETROS!$C$36))</f>
        <v/>
      </c>
      <c r="L465" s="16" t="str">
        <f aca="false">IF($A465&gt;PARAMETROS!$C$33,"",L464*(1+PARAMETROS!$C$37)*(1+M465))</f>
        <v/>
      </c>
      <c r="M465" s="17" t="str">
        <f aca="false">IF($A465&gt;PARAMETROS!$C$33,"",IF(C465&lt;70,PARAMETROS!$C$40,IF(C465&lt;75,PARAMETROS!$C$41,IF(C465&lt;80,PARAMETROS!$C$42,IF(C465&lt;85,PARAMETROS!$C$43,IF(C465&lt;90,PARAMETROS!$C$44,PARAMETROS!$C$45))))))</f>
        <v/>
      </c>
      <c r="N465" s="16" t="str">
        <f aca="false">IF($A465&gt;PARAMETROS!$C$33,"",K465+L465)</f>
        <v/>
      </c>
      <c r="O465" s="16" t="str">
        <f aca="false">IF($A465&gt;PARAMETROS!$C$33,"",I465+J465-N465)</f>
        <v/>
      </c>
      <c r="P465" s="16" t="str">
        <f aca="false">IF($A465&gt;PARAMETROS!$C$33,"",MAX(E465+I465+J465-N465,0))</f>
        <v/>
      </c>
      <c r="Q465" s="18" t="str">
        <f aca="false">IF($A465&gt;PARAMETROS!$C$33,"",IF(P465&lt;=0,"AGOTADO","OK"))</f>
        <v/>
      </c>
    </row>
    <row r="466" customFormat="false" ht="15" hidden="false" customHeight="false" outlineLevel="0" collapsed="false">
      <c r="A466" s="15" t="n">
        <f aca="false">A465+1</f>
        <v>464</v>
      </c>
      <c r="B466" s="15" t="n">
        <f aca="false">IF($A466="","",ROUNDUP($A466/12,0))</f>
        <v>39</v>
      </c>
      <c r="C466" s="15" t="n">
        <f aca="false">IF($A466="","",PARAMETROS!$C$6+INT(($A466-1)/12))</f>
        <v>103</v>
      </c>
      <c r="D466" s="15" t="n">
        <f aca="false">IF($A466="","",MOD($A466-1,12)+1)</f>
        <v>8</v>
      </c>
      <c r="E466" s="16" t="str">
        <f aca="false">IF($A466&gt;PARAMETROS!$C$33,"",P465)</f>
        <v/>
      </c>
      <c r="F466" s="17" t="str">
        <f aca="false">IF($A466&gt;PARAMETROS!$C$33,"",PARAMETROS!$C$38)</f>
        <v/>
      </c>
      <c r="G466" s="16" t="str">
        <f aca="false">IF($A466&gt;PARAMETROS!$C$33,"",E466*F466)</f>
        <v/>
      </c>
      <c r="H466" s="16" t="str">
        <f aca="false">IF($A466&gt;PARAMETROS!$C$33,"",E466*PARAMETROS!$C$39)</f>
        <v/>
      </c>
      <c r="I466" s="16" t="str">
        <f aca="false">IF($A466&gt;PARAMETROS!$C$33,"",G466-H466)</f>
        <v/>
      </c>
      <c r="J466" s="16" t="str">
        <f aca="false">IF($A466&gt;PARAMETROS!$C$33,"",PARAMETROS!$C$9*(1+PARAMETROS!$C$17)^(B466-1))</f>
        <v/>
      </c>
      <c r="K466" s="16" t="str">
        <f aca="false">IF($A466&gt;PARAMETROS!$C$33,"",K465*(1+PARAMETROS!$C$36))</f>
        <v/>
      </c>
      <c r="L466" s="16" t="str">
        <f aca="false">IF($A466&gt;PARAMETROS!$C$33,"",L465*(1+PARAMETROS!$C$37)*(1+M466))</f>
        <v/>
      </c>
      <c r="M466" s="17" t="str">
        <f aca="false">IF($A466&gt;PARAMETROS!$C$33,"",IF(C466&lt;70,PARAMETROS!$C$40,IF(C466&lt;75,PARAMETROS!$C$41,IF(C466&lt;80,PARAMETROS!$C$42,IF(C466&lt;85,PARAMETROS!$C$43,IF(C466&lt;90,PARAMETROS!$C$44,PARAMETROS!$C$45))))))</f>
        <v/>
      </c>
      <c r="N466" s="16" t="str">
        <f aca="false">IF($A466&gt;PARAMETROS!$C$33,"",K466+L466)</f>
        <v/>
      </c>
      <c r="O466" s="16" t="str">
        <f aca="false">IF($A466&gt;PARAMETROS!$C$33,"",I466+J466-N466)</f>
        <v/>
      </c>
      <c r="P466" s="16" t="str">
        <f aca="false">IF($A466&gt;PARAMETROS!$C$33,"",MAX(E466+I466+J466-N466,0))</f>
        <v/>
      </c>
      <c r="Q466" s="18" t="str">
        <f aca="false">IF($A466&gt;PARAMETROS!$C$33,"",IF(P466&lt;=0,"AGOTADO","OK"))</f>
        <v/>
      </c>
    </row>
    <row r="467" customFormat="false" ht="15" hidden="false" customHeight="false" outlineLevel="0" collapsed="false">
      <c r="A467" s="15" t="n">
        <f aca="false">A466+1</f>
        <v>465</v>
      </c>
      <c r="B467" s="15" t="n">
        <f aca="false">IF($A467="","",ROUNDUP($A467/12,0))</f>
        <v>39</v>
      </c>
      <c r="C467" s="15" t="n">
        <f aca="false">IF($A467="","",PARAMETROS!$C$6+INT(($A467-1)/12))</f>
        <v>103</v>
      </c>
      <c r="D467" s="15" t="n">
        <f aca="false">IF($A467="","",MOD($A467-1,12)+1)</f>
        <v>9</v>
      </c>
      <c r="E467" s="16" t="str">
        <f aca="false">IF($A467&gt;PARAMETROS!$C$33,"",P466)</f>
        <v/>
      </c>
      <c r="F467" s="17" t="str">
        <f aca="false">IF($A467&gt;PARAMETROS!$C$33,"",PARAMETROS!$C$38)</f>
        <v/>
      </c>
      <c r="G467" s="16" t="str">
        <f aca="false">IF($A467&gt;PARAMETROS!$C$33,"",E467*F467)</f>
        <v/>
      </c>
      <c r="H467" s="16" t="str">
        <f aca="false">IF($A467&gt;PARAMETROS!$C$33,"",E467*PARAMETROS!$C$39)</f>
        <v/>
      </c>
      <c r="I467" s="16" t="str">
        <f aca="false">IF($A467&gt;PARAMETROS!$C$33,"",G467-H467)</f>
        <v/>
      </c>
      <c r="J467" s="16" t="str">
        <f aca="false">IF($A467&gt;PARAMETROS!$C$33,"",PARAMETROS!$C$9*(1+PARAMETROS!$C$17)^(B467-1))</f>
        <v/>
      </c>
      <c r="K467" s="16" t="str">
        <f aca="false">IF($A467&gt;PARAMETROS!$C$33,"",K466*(1+PARAMETROS!$C$36))</f>
        <v/>
      </c>
      <c r="L467" s="16" t="str">
        <f aca="false">IF($A467&gt;PARAMETROS!$C$33,"",L466*(1+PARAMETROS!$C$37)*(1+M467))</f>
        <v/>
      </c>
      <c r="M467" s="17" t="str">
        <f aca="false">IF($A467&gt;PARAMETROS!$C$33,"",IF(C467&lt;70,PARAMETROS!$C$40,IF(C467&lt;75,PARAMETROS!$C$41,IF(C467&lt;80,PARAMETROS!$C$42,IF(C467&lt;85,PARAMETROS!$C$43,IF(C467&lt;90,PARAMETROS!$C$44,PARAMETROS!$C$45))))))</f>
        <v/>
      </c>
      <c r="N467" s="16" t="str">
        <f aca="false">IF($A467&gt;PARAMETROS!$C$33,"",K467+L467)</f>
        <v/>
      </c>
      <c r="O467" s="16" t="str">
        <f aca="false">IF($A467&gt;PARAMETROS!$C$33,"",I467+J467-N467)</f>
        <v/>
      </c>
      <c r="P467" s="16" t="str">
        <f aca="false">IF($A467&gt;PARAMETROS!$C$33,"",MAX(E467+I467+J467-N467,0))</f>
        <v/>
      </c>
      <c r="Q467" s="18" t="str">
        <f aca="false">IF($A467&gt;PARAMETROS!$C$33,"",IF(P467&lt;=0,"AGOTADO","OK"))</f>
        <v/>
      </c>
    </row>
    <row r="468" customFormat="false" ht="15" hidden="false" customHeight="false" outlineLevel="0" collapsed="false">
      <c r="A468" s="15" t="n">
        <f aca="false">A467+1</f>
        <v>466</v>
      </c>
      <c r="B468" s="15" t="n">
        <f aca="false">IF($A468="","",ROUNDUP($A468/12,0))</f>
        <v>39</v>
      </c>
      <c r="C468" s="15" t="n">
        <f aca="false">IF($A468="","",PARAMETROS!$C$6+INT(($A468-1)/12))</f>
        <v>103</v>
      </c>
      <c r="D468" s="15" t="n">
        <f aca="false">IF($A468="","",MOD($A468-1,12)+1)</f>
        <v>10</v>
      </c>
      <c r="E468" s="16" t="str">
        <f aca="false">IF($A468&gt;PARAMETROS!$C$33,"",P467)</f>
        <v/>
      </c>
      <c r="F468" s="17" t="str">
        <f aca="false">IF($A468&gt;PARAMETROS!$C$33,"",PARAMETROS!$C$38)</f>
        <v/>
      </c>
      <c r="G468" s="16" t="str">
        <f aca="false">IF($A468&gt;PARAMETROS!$C$33,"",E468*F468)</f>
        <v/>
      </c>
      <c r="H468" s="16" t="str">
        <f aca="false">IF($A468&gt;PARAMETROS!$C$33,"",E468*PARAMETROS!$C$39)</f>
        <v/>
      </c>
      <c r="I468" s="16" t="str">
        <f aca="false">IF($A468&gt;PARAMETROS!$C$33,"",G468-H468)</f>
        <v/>
      </c>
      <c r="J468" s="16" t="str">
        <f aca="false">IF($A468&gt;PARAMETROS!$C$33,"",PARAMETROS!$C$9*(1+PARAMETROS!$C$17)^(B468-1))</f>
        <v/>
      </c>
      <c r="K468" s="16" t="str">
        <f aca="false">IF($A468&gt;PARAMETROS!$C$33,"",K467*(1+PARAMETROS!$C$36))</f>
        <v/>
      </c>
      <c r="L468" s="16" t="str">
        <f aca="false">IF($A468&gt;PARAMETROS!$C$33,"",L467*(1+PARAMETROS!$C$37)*(1+M468))</f>
        <v/>
      </c>
      <c r="M468" s="17" t="str">
        <f aca="false">IF($A468&gt;PARAMETROS!$C$33,"",IF(C468&lt;70,PARAMETROS!$C$40,IF(C468&lt;75,PARAMETROS!$C$41,IF(C468&lt;80,PARAMETROS!$C$42,IF(C468&lt;85,PARAMETROS!$C$43,IF(C468&lt;90,PARAMETROS!$C$44,PARAMETROS!$C$45))))))</f>
        <v/>
      </c>
      <c r="N468" s="16" t="str">
        <f aca="false">IF($A468&gt;PARAMETROS!$C$33,"",K468+L468)</f>
        <v/>
      </c>
      <c r="O468" s="16" t="str">
        <f aca="false">IF($A468&gt;PARAMETROS!$C$33,"",I468+J468-N468)</f>
        <v/>
      </c>
      <c r="P468" s="16" t="str">
        <f aca="false">IF($A468&gt;PARAMETROS!$C$33,"",MAX(E468+I468+J468-N468,0))</f>
        <v/>
      </c>
      <c r="Q468" s="18" t="str">
        <f aca="false">IF($A468&gt;PARAMETROS!$C$33,"",IF(P468&lt;=0,"AGOTADO","OK"))</f>
        <v/>
      </c>
    </row>
    <row r="469" customFormat="false" ht="15" hidden="false" customHeight="false" outlineLevel="0" collapsed="false">
      <c r="A469" s="15" t="n">
        <f aca="false">A468+1</f>
        <v>467</v>
      </c>
      <c r="B469" s="15" t="n">
        <f aca="false">IF($A469="","",ROUNDUP($A469/12,0))</f>
        <v>39</v>
      </c>
      <c r="C469" s="15" t="n">
        <f aca="false">IF($A469="","",PARAMETROS!$C$6+INT(($A469-1)/12))</f>
        <v>103</v>
      </c>
      <c r="D469" s="15" t="n">
        <f aca="false">IF($A469="","",MOD($A469-1,12)+1)</f>
        <v>11</v>
      </c>
      <c r="E469" s="16" t="str">
        <f aca="false">IF($A469&gt;PARAMETROS!$C$33,"",P468)</f>
        <v/>
      </c>
      <c r="F469" s="17" t="str">
        <f aca="false">IF($A469&gt;PARAMETROS!$C$33,"",PARAMETROS!$C$38)</f>
        <v/>
      </c>
      <c r="G469" s="16" t="str">
        <f aca="false">IF($A469&gt;PARAMETROS!$C$33,"",E469*F469)</f>
        <v/>
      </c>
      <c r="H469" s="16" t="str">
        <f aca="false">IF($A469&gt;PARAMETROS!$C$33,"",E469*PARAMETROS!$C$39)</f>
        <v/>
      </c>
      <c r="I469" s="16" t="str">
        <f aca="false">IF($A469&gt;PARAMETROS!$C$33,"",G469-H469)</f>
        <v/>
      </c>
      <c r="J469" s="16" t="str">
        <f aca="false">IF($A469&gt;PARAMETROS!$C$33,"",PARAMETROS!$C$9*(1+PARAMETROS!$C$17)^(B469-1))</f>
        <v/>
      </c>
      <c r="K469" s="16" t="str">
        <f aca="false">IF($A469&gt;PARAMETROS!$C$33,"",K468*(1+PARAMETROS!$C$36))</f>
        <v/>
      </c>
      <c r="L469" s="16" t="str">
        <f aca="false">IF($A469&gt;PARAMETROS!$C$33,"",L468*(1+PARAMETROS!$C$37)*(1+M469))</f>
        <v/>
      </c>
      <c r="M469" s="17" t="str">
        <f aca="false">IF($A469&gt;PARAMETROS!$C$33,"",IF(C469&lt;70,PARAMETROS!$C$40,IF(C469&lt;75,PARAMETROS!$C$41,IF(C469&lt;80,PARAMETROS!$C$42,IF(C469&lt;85,PARAMETROS!$C$43,IF(C469&lt;90,PARAMETROS!$C$44,PARAMETROS!$C$45))))))</f>
        <v/>
      </c>
      <c r="N469" s="16" t="str">
        <f aca="false">IF($A469&gt;PARAMETROS!$C$33,"",K469+L469)</f>
        <v/>
      </c>
      <c r="O469" s="16" t="str">
        <f aca="false">IF($A469&gt;PARAMETROS!$C$33,"",I469+J469-N469)</f>
        <v/>
      </c>
      <c r="P469" s="16" t="str">
        <f aca="false">IF($A469&gt;PARAMETROS!$C$33,"",MAX(E469+I469+J469-N469,0))</f>
        <v/>
      </c>
      <c r="Q469" s="18" t="str">
        <f aca="false">IF($A469&gt;PARAMETROS!$C$33,"",IF(P469&lt;=0,"AGOTADO","OK"))</f>
        <v/>
      </c>
    </row>
    <row r="470" customFormat="false" ht="15" hidden="false" customHeight="false" outlineLevel="0" collapsed="false">
      <c r="A470" s="15" t="n">
        <f aca="false">A469+1</f>
        <v>468</v>
      </c>
      <c r="B470" s="15" t="n">
        <f aca="false">IF($A470="","",ROUNDUP($A470/12,0))</f>
        <v>39</v>
      </c>
      <c r="C470" s="15" t="n">
        <f aca="false">IF($A470="","",PARAMETROS!$C$6+INT(($A470-1)/12))</f>
        <v>103</v>
      </c>
      <c r="D470" s="15" t="n">
        <f aca="false">IF($A470="","",MOD($A470-1,12)+1)</f>
        <v>12</v>
      </c>
      <c r="E470" s="16" t="str">
        <f aca="false">IF($A470&gt;PARAMETROS!$C$33,"",P469)</f>
        <v/>
      </c>
      <c r="F470" s="17" t="str">
        <f aca="false">IF($A470&gt;PARAMETROS!$C$33,"",PARAMETROS!$C$38)</f>
        <v/>
      </c>
      <c r="G470" s="16" t="str">
        <f aca="false">IF($A470&gt;PARAMETROS!$C$33,"",E470*F470)</f>
        <v/>
      </c>
      <c r="H470" s="16" t="str">
        <f aca="false">IF($A470&gt;PARAMETROS!$C$33,"",E470*PARAMETROS!$C$39)</f>
        <v/>
      </c>
      <c r="I470" s="16" t="str">
        <f aca="false">IF($A470&gt;PARAMETROS!$C$33,"",G470-H470)</f>
        <v/>
      </c>
      <c r="J470" s="16" t="str">
        <f aca="false">IF($A470&gt;PARAMETROS!$C$33,"",PARAMETROS!$C$9*(1+PARAMETROS!$C$17)^(B470-1))</f>
        <v/>
      </c>
      <c r="K470" s="16" t="str">
        <f aca="false">IF($A470&gt;PARAMETROS!$C$33,"",K469*(1+PARAMETROS!$C$36))</f>
        <v/>
      </c>
      <c r="L470" s="16" t="str">
        <f aca="false">IF($A470&gt;PARAMETROS!$C$33,"",L469*(1+PARAMETROS!$C$37)*(1+M470))</f>
        <v/>
      </c>
      <c r="M470" s="17" t="str">
        <f aca="false">IF($A470&gt;PARAMETROS!$C$33,"",IF(C470&lt;70,PARAMETROS!$C$40,IF(C470&lt;75,PARAMETROS!$C$41,IF(C470&lt;80,PARAMETROS!$C$42,IF(C470&lt;85,PARAMETROS!$C$43,IF(C470&lt;90,PARAMETROS!$C$44,PARAMETROS!$C$45))))))</f>
        <v/>
      </c>
      <c r="N470" s="16" t="str">
        <f aca="false">IF($A470&gt;PARAMETROS!$C$33,"",K470+L470)</f>
        <v/>
      </c>
      <c r="O470" s="16" t="str">
        <f aca="false">IF($A470&gt;PARAMETROS!$C$33,"",I470+J470-N470)</f>
        <v/>
      </c>
      <c r="P470" s="16" t="str">
        <f aca="false">IF($A470&gt;PARAMETROS!$C$33,"",MAX(E470+I470+J470-N470,0))</f>
        <v/>
      </c>
      <c r="Q470" s="18" t="str">
        <f aca="false">IF($A470&gt;PARAMETROS!$C$33,"",IF(P470&lt;=0,"AGOTADO","OK"))</f>
        <v/>
      </c>
    </row>
    <row r="471" customFormat="false" ht="15" hidden="false" customHeight="false" outlineLevel="0" collapsed="false">
      <c r="A471" s="19" t="n">
        <f aca="false">A470+1</f>
        <v>469</v>
      </c>
      <c r="B471" s="19" t="n">
        <f aca="false">IF($A471="","",ROUNDUP($A471/12,0))</f>
        <v>40</v>
      </c>
      <c r="C471" s="19" t="n">
        <f aca="false">IF($A471="","",PARAMETROS!$C$6+INT(($A471-1)/12))</f>
        <v>104</v>
      </c>
      <c r="D471" s="19" t="n">
        <f aca="false">IF($A471="","",MOD($A471-1,12)+1)</f>
        <v>1</v>
      </c>
      <c r="E471" s="20" t="str">
        <f aca="false">IF($A471&gt;PARAMETROS!$C$33,"",P470)</f>
        <v/>
      </c>
      <c r="F471" s="21" t="str">
        <f aca="false">IF($A471&gt;PARAMETROS!$C$33,"",PARAMETROS!$C$38)</f>
        <v/>
      </c>
      <c r="G471" s="20" t="str">
        <f aca="false">IF($A471&gt;PARAMETROS!$C$33,"",E471*F471)</f>
        <v/>
      </c>
      <c r="H471" s="20" t="str">
        <f aca="false">IF($A471&gt;PARAMETROS!$C$33,"",E471*PARAMETROS!$C$39)</f>
        <v/>
      </c>
      <c r="I471" s="20" t="str">
        <f aca="false">IF($A471&gt;PARAMETROS!$C$33,"",G471-H471)</f>
        <v/>
      </c>
      <c r="J471" s="20" t="str">
        <f aca="false">IF($A471&gt;PARAMETROS!$C$33,"",PARAMETROS!$C$9*(1+PARAMETROS!$C$17)^(B471-1))</f>
        <v/>
      </c>
      <c r="K471" s="20" t="str">
        <f aca="false">IF($A471&gt;PARAMETROS!$C$33,"",K470*(1+PARAMETROS!$C$36))</f>
        <v/>
      </c>
      <c r="L471" s="20" t="str">
        <f aca="false">IF($A471&gt;PARAMETROS!$C$33,"",L470*(1+PARAMETROS!$C$37)*(1+M471))</f>
        <v/>
      </c>
      <c r="M471" s="21" t="str">
        <f aca="false">IF($A471&gt;PARAMETROS!$C$33,"",IF(C471&lt;70,PARAMETROS!$C$40,IF(C471&lt;75,PARAMETROS!$C$41,IF(C471&lt;80,PARAMETROS!$C$42,IF(C471&lt;85,PARAMETROS!$C$43,IF(C471&lt;90,PARAMETROS!$C$44,PARAMETROS!$C$45))))))</f>
        <v/>
      </c>
      <c r="N471" s="20" t="str">
        <f aca="false">IF($A471&gt;PARAMETROS!$C$33,"",K471+L471)</f>
        <v/>
      </c>
      <c r="O471" s="20" t="str">
        <f aca="false">IF($A471&gt;PARAMETROS!$C$33,"",I471+J471-N471)</f>
        <v/>
      </c>
      <c r="P471" s="20" t="str">
        <f aca="false">IF($A471&gt;PARAMETROS!$C$33,"",MAX(E471+I471+J471-N471,0))</f>
        <v/>
      </c>
      <c r="Q471" s="22" t="str">
        <f aca="false">IF($A471&gt;PARAMETROS!$C$33,"",IF(P471&lt;=0,"AGOTADO","OK"))</f>
        <v/>
      </c>
    </row>
    <row r="472" customFormat="false" ht="15" hidden="false" customHeight="false" outlineLevel="0" collapsed="false">
      <c r="A472" s="19" t="n">
        <f aca="false">A471+1</f>
        <v>470</v>
      </c>
      <c r="B472" s="19" t="n">
        <f aca="false">IF($A472="","",ROUNDUP($A472/12,0))</f>
        <v>40</v>
      </c>
      <c r="C472" s="19" t="n">
        <f aca="false">IF($A472="","",PARAMETROS!$C$6+INT(($A472-1)/12))</f>
        <v>104</v>
      </c>
      <c r="D472" s="19" t="n">
        <f aca="false">IF($A472="","",MOD($A472-1,12)+1)</f>
        <v>2</v>
      </c>
      <c r="E472" s="20" t="str">
        <f aca="false">IF($A472&gt;PARAMETROS!$C$33,"",P471)</f>
        <v/>
      </c>
      <c r="F472" s="21" t="str">
        <f aca="false">IF($A472&gt;PARAMETROS!$C$33,"",PARAMETROS!$C$38)</f>
        <v/>
      </c>
      <c r="G472" s="20" t="str">
        <f aca="false">IF($A472&gt;PARAMETROS!$C$33,"",E472*F472)</f>
        <v/>
      </c>
      <c r="H472" s="20" t="str">
        <f aca="false">IF($A472&gt;PARAMETROS!$C$33,"",E472*PARAMETROS!$C$39)</f>
        <v/>
      </c>
      <c r="I472" s="20" t="str">
        <f aca="false">IF($A472&gt;PARAMETROS!$C$33,"",G472-H472)</f>
        <v/>
      </c>
      <c r="J472" s="20" t="str">
        <f aca="false">IF($A472&gt;PARAMETROS!$C$33,"",PARAMETROS!$C$9*(1+PARAMETROS!$C$17)^(B472-1))</f>
        <v/>
      </c>
      <c r="K472" s="20" t="str">
        <f aca="false">IF($A472&gt;PARAMETROS!$C$33,"",K471*(1+PARAMETROS!$C$36))</f>
        <v/>
      </c>
      <c r="L472" s="20" t="str">
        <f aca="false">IF($A472&gt;PARAMETROS!$C$33,"",L471*(1+PARAMETROS!$C$37)*(1+M472))</f>
        <v/>
      </c>
      <c r="M472" s="21" t="str">
        <f aca="false">IF($A472&gt;PARAMETROS!$C$33,"",IF(C472&lt;70,PARAMETROS!$C$40,IF(C472&lt;75,PARAMETROS!$C$41,IF(C472&lt;80,PARAMETROS!$C$42,IF(C472&lt;85,PARAMETROS!$C$43,IF(C472&lt;90,PARAMETROS!$C$44,PARAMETROS!$C$45))))))</f>
        <v/>
      </c>
      <c r="N472" s="20" t="str">
        <f aca="false">IF($A472&gt;PARAMETROS!$C$33,"",K472+L472)</f>
        <v/>
      </c>
      <c r="O472" s="20" t="str">
        <f aca="false">IF($A472&gt;PARAMETROS!$C$33,"",I472+J472-N472)</f>
        <v/>
      </c>
      <c r="P472" s="20" t="str">
        <f aca="false">IF($A472&gt;PARAMETROS!$C$33,"",MAX(E472+I472+J472-N472,0))</f>
        <v/>
      </c>
      <c r="Q472" s="22" t="str">
        <f aca="false">IF($A472&gt;PARAMETROS!$C$33,"",IF(P472&lt;=0,"AGOTADO","OK"))</f>
        <v/>
      </c>
    </row>
    <row r="473" customFormat="false" ht="15" hidden="false" customHeight="false" outlineLevel="0" collapsed="false">
      <c r="A473" s="19" t="n">
        <f aca="false">A472+1</f>
        <v>471</v>
      </c>
      <c r="B473" s="19" t="n">
        <f aca="false">IF($A473="","",ROUNDUP($A473/12,0))</f>
        <v>40</v>
      </c>
      <c r="C473" s="19" t="n">
        <f aca="false">IF($A473="","",PARAMETROS!$C$6+INT(($A473-1)/12))</f>
        <v>104</v>
      </c>
      <c r="D473" s="19" t="n">
        <f aca="false">IF($A473="","",MOD($A473-1,12)+1)</f>
        <v>3</v>
      </c>
      <c r="E473" s="20" t="str">
        <f aca="false">IF($A473&gt;PARAMETROS!$C$33,"",P472)</f>
        <v/>
      </c>
      <c r="F473" s="21" t="str">
        <f aca="false">IF($A473&gt;PARAMETROS!$C$33,"",PARAMETROS!$C$38)</f>
        <v/>
      </c>
      <c r="G473" s="20" t="str">
        <f aca="false">IF($A473&gt;PARAMETROS!$C$33,"",E473*F473)</f>
        <v/>
      </c>
      <c r="H473" s="20" t="str">
        <f aca="false">IF($A473&gt;PARAMETROS!$C$33,"",E473*PARAMETROS!$C$39)</f>
        <v/>
      </c>
      <c r="I473" s="20" t="str">
        <f aca="false">IF($A473&gt;PARAMETROS!$C$33,"",G473-H473)</f>
        <v/>
      </c>
      <c r="J473" s="20" t="str">
        <f aca="false">IF($A473&gt;PARAMETROS!$C$33,"",PARAMETROS!$C$9*(1+PARAMETROS!$C$17)^(B473-1))</f>
        <v/>
      </c>
      <c r="K473" s="20" t="str">
        <f aca="false">IF($A473&gt;PARAMETROS!$C$33,"",K472*(1+PARAMETROS!$C$36))</f>
        <v/>
      </c>
      <c r="L473" s="20" t="str">
        <f aca="false">IF($A473&gt;PARAMETROS!$C$33,"",L472*(1+PARAMETROS!$C$37)*(1+M473))</f>
        <v/>
      </c>
      <c r="M473" s="21" t="str">
        <f aca="false">IF($A473&gt;PARAMETROS!$C$33,"",IF(C473&lt;70,PARAMETROS!$C$40,IF(C473&lt;75,PARAMETROS!$C$41,IF(C473&lt;80,PARAMETROS!$C$42,IF(C473&lt;85,PARAMETROS!$C$43,IF(C473&lt;90,PARAMETROS!$C$44,PARAMETROS!$C$45))))))</f>
        <v/>
      </c>
      <c r="N473" s="20" t="str">
        <f aca="false">IF($A473&gt;PARAMETROS!$C$33,"",K473+L473)</f>
        <v/>
      </c>
      <c r="O473" s="20" t="str">
        <f aca="false">IF($A473&gt;PARAMETROS!$C$33,"",I473+J473-N473)</f>
        <v/>
      </c>
      <c r="P473" s="20" t="str">
        <f aca="false">IF($A473&gt;PARAMETROS!$C$33,"",MAX(E473+I473+J473-N473,0))</f>
        <v/>
      </c>
      <c r="Q473" s="22" t="str">
        <f aca="false">IF($A473&gt;PARAMETROS!$C$33,"",IF(P473&lt;=0,"AGOTADO","OK"))</f>
        <v/>
      </c>
    </row>
    <row r="474" customFormat="false" ht="15" hidden="false" customHeight="false" outlineLevel="0" collapsed="false">
      <c r="A474" s="19" t="n">
        <f aca="false">A473+1</f>
        <v>472</v>
      </c>
      <c r="B474" s="19" t="n">
        <f aca="false">IF($A474="","",ROUNDUP($A474/12,0))</f>
        <v>40</v>
      </c>
      <c r="C474" s="19" t="n">
        <f aca="false">IF($A474="","",PARAMETROS!$C$6+INT(($A474-1)/12))</f>
        <v>104</v>
      </c>
      <c r="D474" s="19" t="n">
        <f aca="false">IF($A474="","",MOD($A474-1,12)+1)</f>
        <v>4</v>
      </c>
      <c r="E474" s="20" t="str">
        <f aca="false">IF($A474&gt;PARAMETROS!$C$33,"",P473)</f>
        <v/>
      </c>
      <c r="F474" s="21" t="str">
        <f aca="false">IF($A474&gt;PARAMETROS!$C$33,"",PARAMETROS!$C$38)</f>
        <v/>
      </c>
      <c r="G474" s="20" t="str">
        <f aca="false">IF($A474&gt;PARAMETROS!$C$33,"",E474*F474)</f>
        <v/>
      </c>
      <c r="H474" s="20" t="str">
        <f aca="false">IF($A474&gt;PARAMETROS!$C$33,"",E474*PARAMETROS!$C$39)</f>
        <v/>
      </c>
      <c r="I474" s="20" t="str">
        <f aca="false">IF($A474&gt;PARAMETROS!$C$33,"",G474-H474)</f>
        <v/>
      </c>
      <c r="J474" s="20" t="str">
        <f aca="false">IF($A474&gt;PARAMETROS!$C$33,"",PARAMETROS!$C$9*(1+PARAMETROS!$C$17)^(B474-1))</f>
        <v/>
      </c>
      <c r="K474" s="20" t="str">
        <f aca="false">IF($A474&gt;PARAMETROS!$C$33,"",K473*(1+PARAMETROS!$C$36))</f>
        <v/>
      </c>
      <c r="L474" s="20" t="str">
        <f aca="false">IF($A474&gt;PARAMETROS!$C$33,"",L473*(1+PARAMETROS!$C$37)*(1+M474))</f>
        <v/>
      </c>
      <c r="M474" s="21" t="str">
        <f aca="false">IF($A474&gt;PARAMETROS!$C$33,"",IF(C474&lt;70,PARAMETROS!$C$40,IF(C474&lt;75,PARAMETROS!$C$41,IF(C474&lt;80,PARAMETROS!$C$42,IF(C474&lt;85,PARAMETROS!$C$43,IF(C474&lt;90,PARAMETROS!$C$44,PARAMETROS!$C$45))))))</f>
        <v/>
      </c>
      <c r="N474" s="20" t="str">
        <f aca="false">IF($A474&gt;PARAMETROS!$C$33,"",K474+L474)</f>
        <v/>
      </c>
      <c r="O474" s="20" t="str">
        <f aca="false">IF($A474&gt;PARAMETROS!$C$33,"",I474+J474-N474)</f>
        <v/>
      </c>
      <c r="P474" s="20" t="str">
        <f aca="false">IF($A474&gt;PARAMETROS!$C$33,"",MAX(E474+I474+J474-N474,0))</f>
        <v/>
      </c>
      <c r="Q474" s="22" t="str">
        <f aca="false">IF($A474&gt;PARAMETROS!$C$33,"",IF(P474&lt;=0,"AGOTADO","OK"))</f>
        <v/>
      </c>
    </row>
    <row r="475" customFormat="false" ht="15" hidden="false" customHeight="false" outlineLevel="0" collapsed="false">
      <c r="A475" s="19" t="n">
        <f aca="false">A474+1</f>
        <v>473</v>
      </c>
      <c r="B475" s="19" t="n">
        <f aca="false">IF($A475="","",ROUNDUP($A475/12,0))</f>
        <v>40</v>
      </c>
      <c r="C475" s="19" t="n">
        <f aca="false">IF($A475="","",PARAMETROS!$C$6+INT(($A475-1)/12))</f>
        <v>104</v>
      </c>
      <c r="D475" s="19" t="n">
        <f aca="false">IF($A475="","",MOD($A475-1,12)+1)</f>
        <v>5</v>
      </c>
      <c r="E475" s="20" t="str">
        <f aca="false">IF($A475&gt;PARAMETROS!$C$33,"",P474)</f>
        <v/>
      </c>
      <c r="F475" s="21" t="str">
        <f aca="false">IF($A475&gt;PARAMETROS!$C$33,"",PARAMETROS!$C$38)</f>
        <v/>
      </c>
      <c r="G475" s="20" t="str">
        <f aca="false">IF($A475&gt;PARAMETROS!$C$33,"",E475*F475)</f>
        <v/>
      </c>
      <c r="H475" s="20" t="str">
        <f aca="false">IF($A475&gt;PARAMETROS!$C$33,"",E475*PARAMETROS!$C$39)</f>
        <v/>
      </c>
      <c r="I475" s="20" t="str">
        <f aca="false">IF($A475&gt;PARAMETROS!$C$33,"",G475-H475)</f>
        <v/>
      </c>
      <c r="J475" s="20" t="str">
        <f aca="false">IF($A475&gt;PARAMETROS!$C$33,"",PARAMETROS!$C$9*(1+PARAMETROS!$C$17)^(B475-1))</f>
        <v/>
      </c>
      <c r="K475" s="20" t="str">
        <f aca="false">IF($A475&gt;PARAMETROS!$C$33,"",K474*(1+PARAMETROS!$C$36))</f>
        <v/>
      </c>
      <c r="L475" s="20" t="str">
        <f aca="false">IF($A475&gt;PARAMETROS!$C$33,"",L474*(1+PARAMETROS!$C$37)*(1+M475))</f>
        <v/>
      </c>
      <c r="M475" s="21" t="str">
        <f aca="false">IF($A475&gt;PARAMETROS!$C$33,"",IF(C475&lt;70,PARAMETROS!$C$40,IF(C475&lt;75,PARAMETROS!$C$41,IF(C475&lt;80,PARAMETROS!$C$42,IF(C475&lt;85,PARAMETROS!$C$43,IF(C475&lt;90,PARAMETROS!$C$44,PARAMETROS!$C$45))))))</f>
        <v/>
      </c>
      <c r="N475" s="20" t="str">
        <f aca="false">IF($A475&gt;PARAMETROS!$C$33,"",K475+L475)</f>
        <v/>
      </c>
      <c r="O475" s="20" t="str">
        <f aca="false">IF($A475&gt;PARAMETROS!$C$33,"",I475+J475-N475)</f>
        <v/>
      </c>
      <c r="P475" s="20" t="str">
        <f aca="false">IF($A475&gt;PARAMETROS!$C$33,"",MAX(E475+I475+J475-N475,0))</f>
        <v/>
      </c>
      <c r="Q475" s="22" t="str">
        <f aca="false">IF($A475&gt;PARAMETROS!$C$33,"",IF(P475&lt;=0,"AGOTADO","OK"))</f>
        <v/>
      </c>
    </row>
    <row r="476" customFormat="false" ht="15" hidden="false" customHeight="false" outlineLevel="0" collapsed="false">
      <c r="A476" s="19" t="n">
        <f aca="false">A475+1</f>
        <v>474</v>
      </c>
      <c r="B476" s="19" t="n">
        <f aca="false">IF($A476="","",ROUNDUP($A476/12,0))</f>
        <v>40</v>
      </c>
      <c r="C476" s="19" t="n">
        <f aca="false">IF($A476="","",PARAMETROS!$C$6+INT(($A476-1)/12))</f>
        <v>104</v>
      </c>
      <c r="D476" s="19" t="n">
        <f aca="false">IF($A476="","",MOD($A476-1,12)+1)</f>
        <v>6</v>
      </c>
      <c r="E476" s="20" t="str">
        <f aca="false">IF($A476&gt;PARAMETROS!$C$33,"",P475)</f>
        <v/>
      </c>
      <c r="F476" s="21" t="str">
        <f aca="false">IF($A476&gt;PARAMETROS!$C$33,"",PARAMETROS!$C$38)</f>
        <v/>
      </c>
      <c r="G476" s="20" t="str">
        <f aca="false">IF($A476&gt;PARAMETROS!$C$33,"",E476*F476)</f>
        <v/>
      </c>
      <c r="H476" s="20" t="str">
        <f aca="false">IF($A476&gt;PARAMETROS!$C$33,"",E476*PARAMETROS!$C$39)</f>
        <v/>
      </c>
      <c r="I476" s="20" t="str">
        <f aca="false">IF($A476&gt;PARAMETROS!$C$33,"",G476-H476)</f>
        <v/>
      </c>
      <c r="J476" s="20" t="str">
        <f aca="false">IF($A476&gt;PARAMETROS!$C$33,"",PARAMETROS!$C$9*(1+PARAMETROS!$C$17)^(B476-1))</f>
        <v/>
      </c>
      <c r="K476" s="20" t="str">
        <f aca="false">IF($A476&gt;PARAMETROS!$C$33,"",K475*(1+PARAMETROS!$C$36))</f>
        <v/>
      </c>
      <c r="L476" s="20" t="str">
        <f aca="false">IF($A476&gt;PARAMETROS!$C$33,"",L475*(1+PARAMETROS!$C$37)*(1+M476))</f>
        <v/>
      </c>
      <c r="M476" s="21" t="str">
        <f aca="false">IF($A476&gt;PARAMETROS!$C$33,"",IF(C476&lt;70,PARAMETROS!$C$40,IF(C476&lt;75,PARAMETROS!$C$41,IF(C476&lt;80,PARAMETROS!$C$42,IF(C476&lt;85,PARAMETROS!$C$43,IF(C476&lt;90,PARAMETROS!$C$44,PARAMETROS!$C$45))))))</f>
        <v/>
      </c>
      <c r="N476" s="20" t="str">
        <f aca="false">IF($A476&gt;PARAMETROS!$C$33,"",K476+L476)</f>
        <v/>
      </c>
      <c r="O476" s="20" t="str">
        <f aca="false">IF($A476&gt;PARAMETROS!$C$33,"",I476+J476-N476)</f>
        <v/>
      </c>
      <c r="P476" s="20" t="str">
        <f aca="false">IF($A476&gt;PARAMETROS!$C$33,"",MAX(E476+I476+J476-N476,0))</f>
        <v/>
      </c>
      <c r="Q476" s="22" t="str">
        <f aca="false">IF($A476&gt;PARAMETROS!$C$33,"",IF(P476&lt;=0,"AGOTADO","OK"))</f>
        <v/>
      </c>
    </row>
    <row r="477" customFormat="false" ht="15" hidden="false" customHeight="false" outlineLevel="0" collapsed="false">
      <c r="A477" s="19" t="n">
        <f aca="false">A476+1</f>
        <v>475</v>
      </c>
      <c r="B477" s="19" t="n">
        <f aca="false">IF($A477="","",ROUNDUP($A477/12,0))</f>
        <v>40</v>
      </c>
      <c r="C477" s="19" t="n">
        <f aca="false">IF($A477="","",PARAMETROS!$C$6+INT(($A477-1)/12))</f>
        <v>104</v>
      </c>
      <c r="D477" s="19" t="n">
        <f aca="false">IF($A477="","",MOD($A477-1,12)+1)</f>
        <v>7</v>
      </c>
      <c r="E477" s="20" t="str">
        <f aca="false">IF($A477&gt;PARAMETROS!$C$33,"",P476)</f>
        <v/>
      </c>
      <c r="F477" s="21" t="str">
        <f aca="false">IF($A477&gt;PARAMETROS!$C$33,"",PARAMETROS!$C$38)</f>
        <v/>
      </c>
      <c r="G477" s="20" t="str">
        <f aca="false">IF($A477&gt;PARAMETROS!$C$33,"",E477*F477)</f>
        <v/>
      </c>
      <c r="H477" s="20" t="str">
        <f aca="false">IF($A477&gt;PARAMETROS!$C$33,"",E477*PARAMETROS!$C$39)</f>
        <v/>
      </c>
      <c r="I477" s="20" t="str">
        <f aca="false">IF($A477&gt;PARAMETROS!$C$33,"",G477-H477)</f>
        <v/>
      </c>
      <c r="J477" s="20" t="str">
        <f aca="false">IF($A477&gt;PARAMETROS!$C$33,"",PARAMETROS!$C$9*(1+PARAMETROS!$C$17)^(B477-1))</f>
        <v/>
      </c>
      <c r="K477" s="20" t="str">
        <f aca="false">IF($A477&gt;PARAMETROS!$C$33,"",K476*(1+PARAMETROS!$C$36))</f>
        <v/>
      </c>
      <c r="L477" s="20" t="str">
        <f aca="false">IF($A477&gt;PARAMETROS!$C$33,"",L476*(1+PARAMETROS!$C$37)*(1+M477))</f>
        <v/>
      </c>
      <c r="M477" s="21" t="str">
        <f aca="false">IF($A477&gt;PARAMETROS!$C$33,"",IF(C477&lt;70,PARAMETROS!$C$40,IF(C477&lt;75,PARAMETROS!$C$41,IF(C477&lt;80,PARAMETROS!$C$42,IF(C477&lt;85,PARAMETROS!$C$43,IF(C477&lt;90,PARAMETROS!$C$44,PARAMETROS!$C$45))))))</f>
        <v/>
      </c>
      <c r="N477" s="20" t="str">
        <f aca="false">IF($A477&gt;PARAMETROS!$C$33,"",K477+L477)</f>
        <v/>
      </c>
      <c r="O477" s="20" t="str">
        <f aca="false">IF($A477&gt;PARAMETROS!$C$33,"",I477+J477-N477)</f>
        <v/>
      </c>
      <c r="P477" s="20" t="str">
        <f aca="false">IF($A477&gt;PARAMETROS!$C$33,"",MAX(E477+I477+J477-N477,0))</f>
        <v/>
      </c>
      <c r="Q477" s="22" t="str">
        <f aca="false">IF($A477&gt;PARAMETROS!$C$33,"",IF(P477&lt;=0,"AGOTADO","OK"))</f>
        <v/>
      </c>
    </row>
    <row r="478" customFormat="false" ht="15" hidden="false" customHeight="false" outlineLevel="0" collapsed="false">
      <c r="A478" s="19" t="n">
        <f aca="false">A477+1</f>
        <v>476</v>
      </c>
      <c r="B478" s="19" t="n">
        <f aca="false">IF($A478="","",ROUNDUP($A478/12,0))</f>
        <v>40</v>
      </c>
      <c r="C478" s="19" t="n">
        <f aca="false">IF($A478="","",PARAMETROS!$C$6+INT(($A478-1)/12))</f>
        <v>104</v>
      </c>
      <c r="D478" s="19" t="n">
        <f aca="false">IF($A478="","",MOD($A478-1,12)+1)</f>
        <v>8</v>
      </c>
      <c r="E478" s="20" t="str">
        <f aca="false">IF($A478&gt;PARAMETROS!$C$33,"",P477)</f>
        <v/>
      </c>
      <c r="F478" s="21" t="str">
        <f aca="false">IF($A478&gt;PARAMETROS!$C$33,"",PARAMETROS!$C$38)</f>
        <v/>
      </c>
      <c r="G478" s="20" t="str">
        <f aca="false">IF($A478&gt;PARAMETROS!$C$33,"",E478*F478)</f>
        <v/>
      </c>
      <c r="H478" s="20" t="str">
        <f aca="false">IF($A478&gt;PARAMETROS!$C$33,"",E478*PARAMETROS!$C$39)</f>
        <v/>
      </c>
      <c r="I478" s="20" t="str">
        <f aca="false">IF($A478&gt;PARAMETROS!$C$33,"",G478-H478)</f>
        <v/>
      </c>
      <c r="J478" s="20" t="str">
        <f aca="false">IF($A478&gt;PARAMETROS!$C$33,"",PARAMETROS!$C$9*(1+PARAMETROS!$C$17)^(B478-1))</f>
        <v/>
      </c>
      <c r="K478" s="20" t="str">
        <f aca="false">IF($A478&gt;PARAMETROS!$C$33,"",K477*(1+PARAMETROS!$C$36))</f>
        <v/>
      </c>
      <c r="L478" s="20" t="str">
        <f aca="false">IF($A478&gt;PARAMETROS!$C$33,"",L477*(1+PARAMETROS!$C$37)*(1+M478))</f>
        <v/>
      </c>
      <c r="M478" s="21" t="str">
        <f aca="false">IF($A478&gt;PARAMETROS!$C$33,"",IF(C478&lt;70,PARAMETROS!$C$40,IF(C478&lt;75,PARAMETROS!$C$41,IF(C478&lt;80,PARAMETROS!$C$42,IF(C478&lt;85,PARAMETROS!$C$43,IF(C478&lt;90,PARAMETROS!$C$44,PARAMETROS!$C$45))))))</f>
        <v/>
      </c>
      <c r="N478" s="20" t="str">
        <f aca="false">IF($A478&gt;PARAMETROS!$C$33,"",K478+L478)</f>
        <v/>
      </c>
      <c r="O478" s="20" t="str">
        <f aca="false">IF($A478&gt;PARAMETROS!$C$33,"",I478+J478-N478)</f>
        <v/>
      </c>
      <c r="P478" s="20" t="str">
        <f aca="false">IF($A478&gt;PARAMETROS!$C$33,"",MAX(E478+I478+J478-N478,0))</f>
        <v/>
      </c>
      <c r="Q478" s="22" t="str">
        <f aca="false">IF($A478&gt;PARAMETROS!$C$33,"",IF(P478&lt;=0,"AGOTADO","OK"))</f>
        <v/>
      </c>
    </row>
    <row r="479" customFormat="false" ht="15" hidden="false" customHeight="false" outlineLevel="0" collapsed="false">
      <c r="A479" s="19" t="n">
        <f aca="false">A478+1</f>
        <v>477</v>
      </c>
      <c r="B479" s="19" t="n">
        <f aca="false">IF($A479="","",ROUNDUP($A479/12,0))</f>
        <v>40</v>
      </c>
      <c r="C479" s="19" t="n">
        <f aca="false">IF($A479="","",PARAMETROS!$C$6+INT(($A479-1)/12))</f>
        <v>104</v>
      </c>
      <c r="D479" s="19" t="n">
        <f aca="false">IF($A479="","",MOD($A479-1,12)+1)</f>
        <v>9</v>
      </c>
      <c r="E479" s="20" t="str">
        <f aca="false">IF($A479&gt;PARAMETROS!$C$33,"",P478)</f>
        <v/>
      </c>
      <c r="F479" s="21" t="str">
        <f aca="false">IF($A479&gt;PARAMETROS!$C$33,"",PARAMETROS!$C$38)</f>
        <v/>
      </c>
      <c r="G479" s="20" t="str">
        <f aca="false">IF($A479&gt;PARAMETROS!$C$33,"",E479*F479)</f>
        <v/>
      </c>
      <c r="H479" s="20" t="str">
        <f aca="false">IF($A479&gt;PARAMETROS!$C$33,"",E479*PARAMETROS!$C$39)</f>
        <v/>
      </c>
      <c r="I479" s="20" t="str">
        <f aca="false">IF($A479&gt;PARAMETROS!$C$33,"",G479-H479)</f>
        <v/>
      </c>
      <c r="J479" s="20" t="str">
        <f aca="false">IF($A479&gt;PARAMETROS!$C$33,"",PARAMETROS!$C$9*(1+PARAMETROS!$C$17)^(B479-1))</f>
        <v/>
      </c>
      <c r="K479" s="20" t="str">
        <f aca="false">IF($A479&gt;PARAMETROS!$C$33,"",K478*(1+PARAMETROS!$C$36))</f>
        <v/>
      </c>
      <c r="L479" s="20" t="str">
        <f aca="false">IF($A479&gt;PARAMETROS!$C$33,"",L478*(1+PARAMETROS!$C$37)*(1+M479))</f>
        <v/>
      </c>
      <c r="M479" s="21" t="str">
        <f aca="false">IF($A479&gt;PARAMETROS!$C$33,"",IF(C479&lt;70,PARAMETROS!$C$40,IF(C479&lt;75,PARAMETROS!$C$41,IF(C479&lt;80,PARAMETROS!$C$42,IF(C479&lt;85,PARAMETROS!$C$43,IF(C479&lt;90,PARAMETROS!$C$44,PARAMETROS!$C$45))))))</f>
        <v/>
      </c>
      <c r="N479" s="20" t="str">
        <f aca="false">IF($A479&gt;PARAMETROS!$C$33,"",K479+L479)</f>
        <v/>
      </c>
      <c r="O479" s="20" t="str">
        <f aca="false">IF($A479&gt;PARAMETROS!$C$33,"",I479+J479-N479)</f>
        <v/>
      </c>
      <c r="P479" s="20" t="str">
        <f aca="false">IF($A479&gt;PARAMETROS!$C$33,"",MAX(E479+I479+J479-N479,0))</f>
        <v/>
      </c>
      <c r="Q479" s="22" t="str">
        <f aca="false">IF($A479&gt;PARAMETROS!$C$33,"",IF(P479&lt;=0,"AGOTADO","OK"))</f>
        <v/>
      </c>
    </row>
    <row r="480" customFormat="false" ht="15" hidden="false" customHeight="false" outlineLevel="0" collapsed="false">
      <c r="A480" s="19" t="n">
        <f aca="false">A479+1</f>
        <v>478</v>
      </c>
      <c r="B480" s="19" t="n">
        <f aca="false">IF($A480="","",ROUNDUP($A480/12,0))</f>
        <v>40</v>
      </c>
      <c r="C480" s="19" t="n">
        <f aca="false">IF($A480="","",PARAMETROS!$C$6+INT(($A480-1)/12))</f>
        <v>104</v>
      </c>
      <c r="D480" s="19" t="n">
        <f aca="false">IF($A480="","",MOD($A480-1,12)+1)</f>
        <v>10</v>
      </c>
      <c r="E480" s="20" t="str">
        <f aca="false">IF($A480&gt;PARAMETROS!$C$33,"",P479)</f>
        <v/>
      </c>
      <c r="F480" s="21" t="str">
        <f aca="false">IF($A480&gt;PARAMETROS!$C$33,"",PARAMETROS!$C$38)</f>
        <v/>
      </c>
      <c r="G480" s="20" t="str">
        <f aca="false">IF($A480&gt;PARAMETROS!$C$33,"",E480*F480)</f>
        <v/>
      </c>
      <c r="H480" s="20" t="str">
        <f aca="false">IF($A480&gt;PARAMETROS!$C$33,"",E480*PARAMETROS!$C$39)</f>
        <v/>
      </c>
      <c r="I480" s="20" t="str">
        <f aca="false">IF($A480&gt;PARAMETROS!$C$33,"",G480-H480)</f>
        <v/>
      </c>
      <c r="J480" s="20" t="str">
        <f aca="false">IF($A480&gt;PARAMETROS!$C$33,"",PARAMETROS!$C$9*(1+PARAMETROS!$C$17)^(B480-1))</f>
        <v/>
      </c>
      <c r="K480" s="20" t="str">
        <f aca="false">IF($A480&gt;PARAMETROS!$C$33,"",K479*(1+PARAMETROS!$C$36))</f>
        <v/>
      </c>
      <c r="L480" s="20" t="str">
        <f aca="false">IF($A480&gt;PARAMETROS!$C$33,"",L479*(1+PARAMETROS!$C$37)*(1+M480))</f>
        <v/>
      </c>
      <c r="M480" s="21" t="str">
        <f aca="false">IF($A480&gt;PARAMETROS!$C$33,"",IF(C480&lt;70,PARAMETROS!$C$40,IF(C480&lt;75,PARAMETROS!$C$41,IF(C480&lt;80,PARAMETROS!$C$42,IF(C480&lt;85,PARAMETROS!$C$43,IF(C480&lt;90,PARAMETROS!$C$44,PARAMETROS!$C$45))))))</f>
        <v/>
      </c>
      <c r="N480" s="20" t="str">
        <f aca="false">IF($A480&gt;PARAMETROS!$C$33,"",K480+L480)</f>
        <v/>
      </c>
      <c r="O480" s="20" t="str">
        <f aca="false">IF($A480&gt;PARAMETROS!$C$33,"",I480+J480-N480)</f>
        <v/>
      </c>
      <c r="P480" s="20" t="str">
        <f aca="false">IF($A480&gt;PARAMETROS!$C$33,"",MAX(E480+I480+J480-N480,0))</f>
        <v/>
      </c>
      <c r="Q480" s="22" t="str">
        <f aca="false">IF($A480&gt;PARAMETROS!$C$33,"",IF(P480&lt;=0,"AGOTADO","OK"))</f>
        <v/>
      </c>
    </row>
    <row r="481" customFormat="false" ht="15" hidden="false" customHeight="false" outlineLevel="0" collapsed="false">
      <c r="A481" s="19" t="n">
        <f aca="false">A480+1</f>
        <v>479</v>
      </c>
      <c r="B481" s="19" t="n">
        <f aca="false">IF($A481="","",ROUNDUP($A481/12,0))</f>
        <v>40</v>
      </c>
      <c r="C481" s="19" t="n">
        <f aca="false">IF($A481="","",PARAMETROS!$C$6+INT(($A481-1)/12))</f>
        <v>104</v>
      </c>
      <c r="D481" s="19" t="n">
        <f aca="false">IF($A481="","",MOD($A481-1,12)+1)</f>
        <v>11</v>
      </c>
      <c r="E481" s="20" t="str">
        <f aca="false">IF($A481&gt;PARAMETROS!$C$33,"",P480)</f>
        <v/>
      </c>
      <c r="F481" s="21" t="str">
        <f aca="false">IF($A481&gt;PARAMETROS!$C$33,"",PARAMETROS!$C$38)</f>
        <v/>
      </c>
      <c r="G481" s="20" t="str">
        <f aca="false">IF($A481&gt;PARAMETROS!$C$33,"",E481*F481)</f>
        <v/>
      </c>
      <c r="H481" s="20" t="str">
        <f aca="false">IF($A481&gt;PARAMETROS!$C$33,"",E481*PARAMETROS!$C$39)</f>
        <v/>
      </c>
      <c r="I481" s="20" t="str">
        <f aca="false">IF($A481&gt;PARAMETROS!$C$33,"",G481-H481)</f>
        <v/>
      </c>
      <c r="J481" s="20" t="str">
        <f aca="false">IF($A481&gt;PARAMETROS!$C$33,"",PARAMETROS!$C$9*(1+PARAMETROS!$C$17)^(B481-1))</f>
        <v/>
      </c>
      <c r="K481" s="20" t="str">
        <f aca="false">IF($A481&gt;PARAMETROS!$C$33,"",K480*(1+PARAMETROS!$C$36))</f>
        <v/>
      </c>
      <c r="L481" s="20" t="str">
        <f aca="false">IF($A481&gt;PARAMETROS!$C$33,"",L480*(1+PARAMETROS!$C$37)*(1+M481))</f>
        <v/>
      </c>
      <c r="M481" s="21" t="str">
        <f aca="false">IF($A481&gt;PARAMETROS!$C$33,"",IF(C481&lt;70,PARAMETROS!$C$40,IF(C481&lt;75,PARAMETROS!$C$41,IF(C481&lt;80,PARAMETROS!$C$42,IF(C481&lt;85,PARAMETROS!$C$43,IF(C481&lt;90,PARAMETROS!$C$44,PARAMETROS!$C$45))))))</f>
        <v/>
      </c>
      <c r="N481" s="20" t="str">
        <f aca="false">IF($A481&gt;PARAMETROS!$C$33,"",K481+L481)</f>
        <v/>
      </c>
      <c r="O481" s="20" t="str">
        <f aca="false">IF($A481&gt;PARAMETROS!$C$33,"",I481+J481-N481)</f>
        <v/>
      </c>
      <c r="P481" s="20" t="str">
        <f aca="false">IF($A481&gt;PARAMETROS!$C$33,"",MAX(E481+I481+J481-N481,0))</f>
        <v/>
      </c>
      <c r="Q481" s="22" t="str">
        <f aca="false">IF($A481&gt;PARAMETROS!$C$33,"",IF(P481&lt;=0,"AGOTADO","OK"))</f>
        <v/>
      </c>
    </row>
    <row r="482" customFormat="false" ht="15" hidden="false" customHeight="false" outlineLevel="0" collapsed="false">
      <c r="A482" s="19" t="n">
        <f aca="false">A481+1</f>
        <v>480</v>
      </c>
      <c r="B482" s="19" t="n">
        <f aca="false">IF($A482="","",ROUNDUP($A482/12,0))</f>
        <v>40</v>
      </c>
      <c r="C482" s="19" t="n">
        <f aca="false">IF($A482="","",PARAMETROS!$C$6+INT(($A482-1)/12))</f>
        <v>104</v>
      </c>
      <c r="D482" s="19" t="n">
        <f aca="false">IF($A482="","",MOD($A482-1,12)+1)</f>
        <v>12</v>
      </c>
      <c r="E482" s="20" t="str">
        <f aca="false">IF($A482&gt;PARAMETROS!$C$33,"",P481)</f>
        <v/>
      </c>
      <c r="F482" s="21" t="str">
        <f aca="false">IF($A482&gt;PARAMETROS!$C$33,"",PARAMETROS!$C$38)</f>
        <v/>
      </c>
      <c r="G482" s="20" t="str">
        <f aca="false">IF($A482&gt;PARAMETROS!$C$33,"",E482*F482)</f>
        <v/>
      </c>
      <c r="H482" s="20" t="str">
        <f aca="false">IF($A482&gt;PARAMETROS!$C$33,"",E482*PARAMETROS!$C$39)</f>
        <v/>
      </c>
      <c r="I482" s="20" t="str">
        <f aca="false">IF($A482&gt;PARAMETROS!$C$33,"",G482-H482)</f>
        <v/>
      </c>
      <c r="J482" s="20" t="str">
        <f aca="false">IF($A482&gt;PARAMETROS!$C$33,"",PARAMETROS!$C$9*(1+PARAMETROS!$C$17)^(B482-1))</f>
        <v/>
      </c>
      <c r="K482" s="20" t="str">
        <f aca="false">IF($A482&gt;PARAMETROS!$C$33,"",K481*(1+PARAMETROS!$C$36))</f>
        <v/>
      </c>
      <c r="L482" s="20" t="str">
        <f aca="false">IF($A482&gt;PARAMETROS!$C$33,"",L481*(1+PARAMETROS!$C$37)*(1+M482))</f>
        <v/>
      </c>
      <c r="M482" s="21" t="str">
        <f aca="false">IF($A482&gt;PARAMETROS!$C$33,"",IF(C482&lt;70,PARAMETROS!$C$40,IF(C482&lt;75,PARAMETROS!$C$41,IF(C482&lt;80,PARAMETROS!$C$42,IF(C482&lt;85,PARAMETROS!$C$43,IF(C482&lt;90,PARAMETROS!$C$44,PARAMETROS!$C$45))))))</f>
        <v/>
      </c>
      <c r="N482" s="20" t="str">
        <f aca="false">IF($A482&gt;PARAMETROS!$C$33,"",K482+L482)</f>
        <v/>
      </c>
      <c r="O482" s="20" t="str">
        <f aca="false">IF($A482&gt;PARAMETROS!$C$33,"",I482+J482-N482)</f>
        <v/>
      </c>
      <c r="P482" s="20" t="str">
        <f aca="false">IF($A482&gt;PARAMETROS!$C$33,"",MAX(E482+I482+J482-N482,0))</f>
        <v/>
      </c>
      <c r="Q482" s="22" t="str">
        <f aca="false">IF($A482&gt;PARAMETROS!$C$33,"",IF(P482&lt;=0,"AGOTADO","OK"))</f>
        <v/>
      </c>
    </row>
    <row r="483" customFormat="false" ht="15" hidden="false" customHeight="false" outlineLevel="0" collapsed="false">
      <c r="A483" s="15" t="n">
        <f aca="false">A482+1</f>
        <v>481</v>
      </c>
      <c r="B483" s="15" t="n">
        <f aca="false">IF($A483="","",ROUNDUP($A483/12,0))</f>
        <v>41</v>
      </c>
      <c r="C483" s="15" t="n">
        <f aca="false">IF($A483="","",PARAMETROS!$C$6+INT(($A483-1)/12))</f>
        <v>105</v>
      </c>
      <c r="D483" s="15" t="n">
        <f aca="false">IF($A483="","",MOD($A483-1,12)+1)</f>
        <v>1</v>
      </c>
      <c r="E483" s="16" t="str">
        <f aca="false">IF($A483&gt;PARAMETROS!$C$33,"",P482)</f>
        <v/>
      </c>
      <c r="F483" s="17" t="str">
        <f aca="false">IF($A483&gt;PARAMETROS!$C$33,"",PARAMETROS!$C$38)</f>
        <v/>
      </c>
      <c r="G483" s="16" t="str">
        <f aca="false">IF($A483&gt;PARAMETROS!$C$33,"",E483*F483)</f>
        <v/>
      </c>
      <c r="H483" s="16" t="str">
        <f aca="false">IF($A483&gt;PARAMETROS!$C$33,"",E483*PARAMETROS!$C$39)</f>
        <v/>
      </c>
      <c r="I483" s="16" t="str">
        <f aca="false">IF($A483&gt;PARAMETROS!$C$33,"",G483-H483)</f>
        <v/>
      </c>
      <c r="J483" s="16" t="str">
        <f aca="false">IF($A483&gt;PARAMETROS!$C$33,"",PARAMETROS!$C$9*(1+PARAMETROS!$C$17)^(B483-1))</f>
        <v/>
      </c>
      <c r="K483" s="16" t="str">
        <f aca="false">IF($A483&gt;PARAMETROS!$C$33,"",K482*(1+PARAMETROS!$C$36))</f>
        <v/>
      </c>
      <c r="L483" s="16" t="str">
        <f aca="false">IF($A483&gt;PARAMETROS!$C$33,"",L482*(1+PARAMETROS!$C$37)*(1+M483))</f>
        <v/>
      </c>
      <c r="M483" s="17" t="str">
        <f aca="false">IF($A483&gt;PARAMETROS!$C$33,"",IF(C483&lt;70,PARAMETROS!$C$40,IF(C483&lt;75,PARAMETROS!$C$41,IF(C483&lt;80,PARAMETROS!$C$42,IF(C483&lt;85,PARAMETROS!$C$43,IF(C483&lt;90,PARAMETROS!$C$44,PARAMETROS!$C$45))))))</f>
        <v/>
      </c>
      <c r="N483" s="16" t="str">
        <f aca="false">IF($A483&gt;PARAMETROS!$C$33,"",K483+L483)</f>
        <v/>
      </c>
      <c r="O483" s="16" t="str">
        <f aca="false">IF($A483&gt;PARAMETROS!$C$33,"",I483+J483-N483)</f>
        <v/>
      </c>
      <c r="P483" s="16" t="str">
        <f aca="false">IF($A483&gt;PARAMETROS!$C$33,"",MAX(E483+I483+J483-N483,0))</f>
        <v/>
      </c>
      <c r="Q483" s="18" t="str">
        <f aca="false">IF($A483&gt;PARAMETROS!$C$33,"",IF(P483&lt;=0,"AGOTADO","OK"))</f>
        <v/>
      </c>
    </row>
    <row r="484" customFormat="false" ht="15" hidden="false" customHeight="false" outlineLevel="0" collapsed="false">
      <c r="A484" s="15" t="n">
        <f aca="false">A483+1</f>
        <v>482</v>
      </c>
      <c r="B484" s="15" t="n">
        <f aca="false">IF($A484="","",ROUNDUP($A484/12,0))</f>
        <v>41</v>
      </c>
      <c r="C484" s="15" t="n">
        <f aca="false">IF($A484="","",PARAMETROS!$C$6+INT(($A484-1)/12))</f>
        <v>105</v>
      </c>
      <c r="D484" s="15" t="n">
        <f aca="false">IF($A484="","",MOD($A484-1,12)+1)</f>
        <v>2</v>
      </c>
      <c r="E484" s="16" t="str">
        <f aca="false">IF($A484&gt;PARAMETROS!$C$33,"",P483)</f>
        <v/>
      </c>
      <c r="F484" s="17" t="str">
        <f aca="false">IF($A484&gt;PARAMETROS!$C$33,"",PARAMETROS!$C$38)</f>
        <v/>
      </c>
      <c r="G484" s="16" t="str">
        <f aca="false">IF($A484&gt;PARAMETROS!$C$33,"",E484*F484)</f>
        <v/>
      </c>
      <c r="H484" s="16" t="str">
        <f aca="false">IF($A484&gt;PARAMETROS!$C$33,"",E484*PARAMETROS!$C$39)</f>
        <v/>
      </c>
      <c r="I484" s="16" t="str">
        <f aca="false">IF($A484&gt;PARAMETROS!$C$33,"",G484-H484)</f>
        <v/>
      </c>
      <c r="J484" s="16" t="str">
        <f aca="false">IF($A484&gt;PARAMETROS!$C$33,"",PARAMETROS!$C$9*(1+PARAMETROS!$C$17)^(B484-1))</f>
        <v/>
      </c>
      <c r="K484" s="16" t="str">
        <f aca="false">IF($A484&gt;PARAMETROS!$C$33,"",K483*(1+PARAMETROS!$C$36))</f>
        <v/>
      </c>
      <c r="L484" s="16" t="str">
        <f aca="false">IF($A484&gt;PARAMETROS!$C$33,"",L483*(1+PARAMETROS!$C$37)*(1+M484))</f>
        <v/>
      </c>
      <c r="M484" s="17" t="str">
        <f aca="false">IF($A484&gt;PARAMETROS!$C$33,"",IF(C484&lt;70,PARAMETROS!$C$40,IF(C484&lt;75,PARAMETROS!$C$41,IF(C484&lt;80,PARAMETROS!$C$42,IF(C484&lt;85,PARAMETROS!$C$43,IF(C484&lt;90,PARAMETROS!$C$44,PARAMETROS!$C$45))))))</f>
        <v/>
      </c>
      <c r="N484" s="16" t="str">
        <f aca="false">IF($A484&gt;PARAMETROS!$C$33,"",K484+L484)</f>
        <v/>
      </c>
      <c r="O484" s="16" t="str">
        <f aca="false">IF($A484&gt;PARAMETROS!$C$33,"",I484+J484-N484)</f>
        <v/>
      </c>
      <c r="P484" s="16" t="str">
        <f aca="false">IF($A484&gt;PARAMETROS!$C$33,"",MAX(E484+I484+J484-N484,0))</f>
        <v/>
      </c>
      <c r="Q484" s="18" t="str">
        <f aca="false">IF($A484&gt;PARAMETROS!$C$33,"",IF(P484&lt;=0,"AGOTADO","OK"))</f>
        <v/>
      </c>
    </row>
    <row r="485" customFormat="false" ht="15" hidden="false" customHeight="false" outlineLevel="0" collapsed="false">
      <c r="A485" s="15" t="n">
        <f aca="false">A484+1</f>
        <v>483</v>
      </c>
      <c r="B485" s="15" t="n">
        <f aca="false">IF($A485="","",ROUNDUP($A485/12,0))</f>
        <v>41</v>
      </c>
      <c r="C485" s="15" t="n">
        <f aca="false">IF($A485="","",PARAMETROS!$C$6+INT(($A485-1)/12))</f>
        <v>105</v>
      </c>
      <c r="D485" s="15" t="n">
        <f aca="false">IF($A485="","",MOD($A485-1,12)+1)</f>
        <v>3</v>
      </c>
      <c r="E485" s="16" t="str">
        <f aca="false">IF($A485&gt;PARAMETROS!$C$33,"",P484)</f>
        <v/>
      </c>
      <c r="F485" s="17" t="str">
        <f aca="false">IF($A485&gt;PARAMETROS!$C$33,"",PARAMETROS!$C$38)</f>
        <v/>
      </c>
      <c r="G485" s="16" t="str">
        <f aca="false">IF($A485&gt;PARAMETROS!$C$33,"",E485*F485)</f>
        <v/>
      </c>
      <c r="H485" s="16" t="str">
        <f aca="false">IF($A485&gt;PARAMETROS!$C$33,"",E485*PARAMETROS!$C$39)</f>
        <v/>
      </c>
      <c r="I485" s="16" t="str">
        <f aca="false">IF($A485&gt;PARAMETROS!$C$33,"",G485-H485)</f>
        <v/>
      </c>
      <c r="J485" s="16" t="str">
        <f aca="false">IF($A485&gt;PARAMETROS!$C$33,"",PARAMETROS!$C$9*(1+PARAMETROS!$C$17)^(B485-1))</f>
        <v/>
      </c>
      <c r="K485" s="16" t="str">
        <f aca="false">IF($A485&gt;PARAMETROS!$C$33,"",K484*(1+PARAMETROS!$C$36))</f>
        <v/>
      </c>
      <c r="L485" s="16" t="str">
        <f aca="false">IF($A485&gt;PARAMETROS!$C$33,"",L484*(1+PARAMETROS!$C$37)*(1+M485))</f>
        <v/>
      </c>
      <c r="M485" s="17" t="str">
        <f aca="false">IF($A485&gt;PARAMETROS!$C$33,"",IF(C485&lt;70,PARAMETROS!$C$40,IF(C485&lt;75,PARAMETROS!$C$41,IF(C485&lt;80,PARAMETROS!$C$42,IF(C485&lt;85,PARAMETROS!$C$43,IF(C485&lt;90,PARAMETROS!$C$44,PARAMETROS!$C$45))))))</f>
        <v/>
      </c>
      <c r="N485" s="16" t="str">
        <f aca="false">IF($A485&gt;PARAMETROS!$C$33,"",K485+L485)</f>
        <v/>
      </c>
      <c r="O485" s="16" t="str">
        <f aca="false">IF($A485&gt;PARAMETROS!$C$33,"",I485+J485-N485)</f>
        <v/>
      </c>
      <c r="P485" s="16" t="str">
        <f aca="false">IF($A485&gt;PARAMETROS!$C$33,"",MAX(E485+I485+J485-N485,0))</f>
        <v/>
      </c>
      <c r="Q485" s="18" t="str">
        <f aca="false">IF($A485&gt;PARAMETROS!$C$33,"",IF(P485&lt;=0,"AGOTADO","OK"))</f>
        <v/>
      </c>
    </row>
    <row r="486" customFormat="false" ht="15" hidden="false" customHeight="false" outlineLevel="0" collapsed="false">
      <c r="A486" s="15" t="n">
        <f aca="false">A485+1</f>
        <v>484</v>
      </c>
      <c r="B486" s="15" t="n">
        <f aca="false">IF($A486="","",ROUNDUP($A486/12,0))</f>
        <v>41</v>
      </c>
      <c r="C486" s="15" t="n">
        <f aca="false">IF($A486="","",PARAMETROS!$C$6+INT(($A486-1)/12))</f>
        <v>105</v>
      </c>
      <c r="D486" s="15" t="n">
        <f aca="false">IF($A486="","",MOD($A486-1,12)+1)</f>
        <v>4</v>
      </c>
      <c r="E486" s="16" t="str">
        <f aca="false">IF($A486&gt;PARAMETROS!$C$33,"",P485)</f>
        <v/>
      </c>
      <c r="F486" s="17" t="str">
        <f aca="false">IF($A486&gt;PARAMETROS!$C$33,"",PARAMETROS!$C$38)</f>
        <v/>
      </c>
      <c r="G486" s="16" t="str">
        <f aca="false">IF($A486&gt;PARAMETROS!$C$33,"",E486*F486)</f>
        <v/>
      </c>
      <c r="H486" s="16" t="str">
        <f aca="false">IF($A486&gt;PARAMETROS!$C$33,"",E486*PARAMETROS!$C$39)</f>
        <v/>
      </c>
      <c r="I486" s="16" t="str">
        <f aca="false">IF($A486&gt;PARAMETROS!$C$33,"",G486-H486)</f>
        <v/>
      </c>
      <c r="J486" s="16" t="str">
        <f aca="false">IF($A486&gt;PARAMETROS!$C$33,"",PARAMETROS!$C$9*(1+PARAMETROS!$C$17)^(B486-1))</f>
        <v/>
      </c>
      <c r="K486" s="16" t="str">
        <f aca="false">IF($A486&gt;PARAMETROS!$C$33,"",K485*(1+PARAMETROS!$C$36))</f>
        <v/>
      </c>
      <c r="L486" s="16" t="str">
        <f aca="false">IF($A486&gt;PARAMETROS!$C$33,"",L485*(1+PARAMETROS!$C$37)*(1+M486))</f>
        <v/>
      </c>
      <c r="M486" s="17" t="str">
        <f aca="false">IF($A486&gt;PARAMETROS!$C$33,"",IF(C486&lt;70,PARAMETROS!$C$40,IF(C486&lt;75,PARAMETROS!$C$41,IF(C486&lt;80,PARAMETROS!$C$42,IF(C486&lt;85,PARAMETROS!$C$43,IF(C486&lt;90,PARAMETROS!$C$44,PARAMETROS!$C$45))))))</f>
        <v/>
      </c>
      <c r="N486" s="16" t="str">
        <f aca="false">IF($A486&gt;PARAMETROS!$C$33,"",K486+L486)</f>
        <v/>
      </c>
      <c r="O486" s="16" t="str">
        <f aca="false">IF($A486&gt;PARAMETROS!$C$33,"",I486+J486-N486)</f>
        <v/>
      </c>
      <c r="P486" s="16" t="str">
        <f aca="false">IF($A486&gt;PARAMETROS!$C$33,"",MAX(E486+I486+J486-N486,0))</f>
        <v/>
      </c>
      <c r="Q486" s="18" t="str">
        <f aca="false">IF($A486&gt;PARAMETROS!$C$33,"",IF(P486&lt;=0,"AGOTADO","OK"))</f>
        <v/>
      </c>
    </row>
    <row r="487" customFormat="false" ht="15" hidden="false" customHeight="false" outlineLevel="0" collapsed="false">
      <c r="A487" s="15" t="n">
        <f aca="false">A486+1</f>
        <v>485</v>
      </c>
      <c r="B487" s="15" t="n">
        <f aca="false">IF($A487="","",ROUNDUP($A487/12,0))</f>
        <v>41</v>
      </c>
      <c r="C487" s="15" t="n">
        <f aca="false">IF($A487="","",PARAMETROS!$C$6+INT(($A487-1)/12))</f>
        <v>105</v>
      </c>
      <c r="D487" s="15" t="n">
        <f aca="false">IF($A487="","",MOD($A487-1,12)+1)</f>
        <v>5</v>
      </c>
      <c r="E487" s="16" t="str">
        <f aca="false">IF($A487&gt;PARAMETROS!$C$33,"",P486)</f>
        <v/>
      </c>
      <c r="F487" s="17" t="str">
        <f aca="false">IF($A487&gt;PARAMETROS!$C$33,"",PARAMETROS!$C$38)</f>
        <v/>
      </c>
      <c r="G487" s="16" t="str">
        <f aca="false">IF($A487&gt;PARAMETROS!$C$33,"",E487*F487)</f>
        <v/>
      </c>
      <c r="H487" s="16" t="str">
        <f aca="false">IF($A487&gt;PARAMETROS!$C$33,"",E487*PARAMETROS!$C$39)</f>
        <v/>
      </c>
      <c r="I487" s="16" t="str">
        <f aca="false">IF($A487&gt;PARAMETROS!$C$33,"",G487-H487)</f>
        <v/>
      </c>
      <c r="J487" s="16" t="str">
        <f aca="false">IF($A487&gt;PARAMETROS!$C$33,"",PARAMETROS!$C$9*(1+PARAMETROS!$C$17)^(B487-1))</f>
        <v/>
      </c>
      <c r="K487" s="16" t="str">
        <f aca="false">IF($A487&gt;PARAMETROS!$C$33,"",K486*(1+PARAMETROS!$C$36))</f>
        <v/>
      </c>
      <c r="L487" s="16" t="str">
        <f aca="false">IF($A487&gt;PARAMETROS!$C$33,"",L486*(1+PARAMETROS!$C$37)*(1+M487))</f>
        <v/>
      </c>
      <c r="M487" s="17" t="str">
        <f aca="false">IF($A487&gt;PARAMETROS!$C$33,"",IF(C487&lt;70,PARAMETROS!$C$40,IF(C487&lt;75,PARAMETROS!$C$41,IF(C487&lt;80,PARAMETROS!$C$42,IF(C487&lt;85,PARAMETROS!$C$43,IF(C487&lt;90,PARAMETROS!$C$44,PARAMETROS!$C$45))))))</f>
        <v/>
      </c>
      <c r="N487" s="16" t="str">
        <f aca="false">IF($A487&gt;PARAMETROS!$C$33,"",K487+L487)</f>
        <v/>
      </c>
      <c r="O487" s="16" t="str">
        <f aca="false">IF($A487&gt;PARAMETROS!$C$33,"",I487+J487-N487)</f>
        <v/>
      </c>
      <c r="P487" s="16" t="str">
        <f aca="false">IF($A487&gt;PARAMETROS!$C$33,"",MAX(E487+I487+J487-N487,0))</f>
        <v/>
      </c>
      <c r="Q487" s="18" t="str">
        <f aca="false">IF($A487&gt;PARAMETROS!$C$33,"",IF(P487&lt;=0,"AGOTADO","OK"))</f>
        <v/>
      </c>
    </row>
    <row r="488" customFormat="false" ht="15" hidden="false" customHeight="false" outlineLevel="0" collapsed="false">
      <c r="A488" s="15" t="n">
        <f aca="false">A487+1</f>
        <v>486</v>
      </c>
      <c r="B488" s="15" t="n">
        <f aca="false">IF($A488="","",ROUNDUP($A488/12,0))</f>
        <v>41</v>
      </c>
      <c r="C488" s="15" t="n">
        <f aca="false">IF($A488="","",PARAMETROS!$C$6+INT(($A488-1)/12))</f>
        <v>105</v>
      </c>
      <c r="D488" s="15" t="n">
        <f aca="false">IF($A488="","",MOD($A488-1,12)+1)</f>
        <v>6</v>
      </c>
      <c r="E488" s="16" t="str">
        <f aca="false">IF($A488&gt;PARAMETROS!$C$33,"",P487)</f>
        <v/>
      </c>
      <c r="F488" s="17" t="str">
        <f aca="false">IF($A488&gt;PARAMETROS!$C$33,"",PARAMETROS!$C$38)</f>
        <v/>
      </c>
      <c r="G488" s="16" t="str">
        <f aca="false">IF($A488&gt;PARAMETROS!$C$33,"",E488*F488)</f>
        <v/>
      </c>
      <c r="H488" s="16" t="str">
        <f aca="false">IF($A488&gt;PARAMETROS!$C$33,"",E488*PARAMETROS!$C$39)</f>
        <v/>
      </c>
      <c r="I488" s="16" t="str">
        <f aca="false">IF($A488&gt;PARAMETROS!$C$33,"",G488-H488)</f>
        <v/>
      </c>
      <c r="J488" s="16" t="str">
        <f aca="false">IF($A488&gt;PARAMETROS!$C$33,"",PARAMETROS!$C$9*(1+PARAMETROS!$C$17)^(B488-1))</f>
        <v/>
      </c>
      <c r="K488" s="16" t="str">
        <f aca="false">IF($A488&gt;PARAMETROS!$C$33,"",K487*(1+PARAMETROS!$C$36))</f>
        <v/>
      </c>
      <c r="L488" s="16" t="str">
        <f aca="false">IF($A488&gt;PARAMETROS!$C$33,"",L487*(1+PARAMETROS!$C$37)*(1+M488))</f>
        <v/>
      </c>
      <c r="M488" s="17" t="str">
        <f aca="false">IF($A488&gt;PARAMETROS!$C$33,"",IF(C488&lt;70,PARAMETROS!$C$40,IF(C488&lt;75,PARAMETROS!$C$41,IF(C488&lt;80,PARAMETROS!$C$42,IF(C488&lt;85,PARAMETROS!$C$43,IF(C488&lt;90,PARAMETROS!$C$44,PARAMETROS!$C$45))))))</f>
        <v/>
      </c>
      <c r="N488" s="16" t="str">
        <f aca="false">IF($A488&gt;PARAMETROS!$C$33,"",K488+L488)</f>
        <v/>
      </c>
      <c r="O488" s="16" t="str">
        <f aca="false">IF($A488&gt;PARAMETROS!$C$33,"",I488+J488-N488)</f>
        <v/>
      </c>
      <c r="P488" s="16" t="str">
        <f aca="false">IF($A488&gt;PARAMETROS!$C$33,"",MAX(E488+I488+J488-N488,0))</f>
        <v/>
      </c>
      <c r="Q488" s="18" t="str">
        <f aca="false">IF($A488&gt;PARAMETROS!$C$33,"",IF(P488&lt;=0,"AGOTADO","OK"))</f>
        <v/>
      </c>
    </row>
    <row r="489" customFormat="false" ht="15" hidden="false" customHeight="false" outlineLevel="0" collapsed="false">
      <c r="A489" s="15" t="n">
        <f aca="false">A488+1</f>
        <v>487</v>
      </c>
      <c r="B489" s="15" t="n">
        <f aca="false">IF($A489="","",ROUNDUP($A489/12,0))</f>
        <v>41</v>
      </c>
      <c r="C489" s="15" t="n">
        <f aca="false">IF($A489="","",PARAMETROS!$C$6+INT(($A489-1)/12))</f>
        <v>105</v>
      </c>
      <c r="D489" s="15" t="n">
        <f aca="false">IF($A489="","",MOD($A489-1,12)+1)</f>
        <v>7</v>
      </c>
      <c r="E489" s="16" t="str">
        <f aca="false">IF($A489&gt;PARAMETROS!$C$33,"",P488)</f>
        <v/>
      </c>
      <c r="F489" s="17" t="str">
        <f aca="false">IF($A489&gt;PARAMETROS!$C$33,"",PARAMETROS!$C$38)</f>
        <v/>
      </c>
      <c r="G489" s="16" t="str">
        <f aca="false">IF($A489&gt;PARAMETROS!$C$33,"",E489*F489)</f>
        <v/>
      </c>
      <c r="H489" s="16" t="str">
        <f aca="false">IF($A489&gt;PARAMETROS!$C$33,"",E489*PARAMETROS!$C$39)</f>
        <v/>
      </c>
      <c r="I489" s="16" t="str">
        <f aca="false">IF($A489&gt;PARAMETROS!$C$33,"",G489-H489)</f>
        <v/>
      </c>
      <c r="J489" s="16" t="str">
        <f aca="false">IF($A489&gt;PARAMETROS!$C$33,"",PARAMETROS!$C$9*(1+PARAMETROS!$C$17)^(B489-1))</f>
        <v/>
      </c>
      <c r="K489" s="16" t="str">
        <f aca="false">IF($A489&gt;PARAMETROS!$C$33,"",K488*(1+PARAMETROS!$C$36))</f>
        <v/>
      </c>
      <c r="L489" s="16" t="str">
        <f aca="false">IF($A489&gt;PARAMETROS!$C$33,"",L488*(1+PARAMETROS!$C$37)*(1+M489))</f>
        <v/>
      </c>
      <c r="M489" s="17" t="str">
        <f aca="false">IF($A489&gt;PARAMETROS!$C$33,"",IF(C489&lt;70,PARAMETROS!$C$40,IF(C489&lt;75,PARAMETROS!$C$41,IF(C489&lt;80,PARAMETROS!$C$42,IF(C489&lt;85,PARAMETROS!$C$43,IF(C489&lt;90,PARAMETROS!$C$44,PARAMETROS!$C$45))))))</f>
        <v/>
      </c>
      <c r="N489" s="16" t="str">
        <f aca="false">IF($A489&gt;PARAMETROS!$C$33,"",K489+L489)</f>
        <v/>
      </c>
      <c r="O489" s="16" t="str">
        <f aca="false">IF($A489&gt;PARAMETROS!$C$33,"",I489+J489-N489)</f>
        <v/>
      </c>
      <c r="P489" s="16" t="str">
        <f aca="false">IF($A489&gt;PARAMETROS!$C$33,"",MAX(E489+I489+J489-N489,0))</f>
        <v/>
      </c>
      <c r="Q489" s="18" t="str">
        <f aca="false">IF($A489&gt;PARAMETROS!$C$33,"",IF(P489&lt;=0,"AGOTADO","OK"))</f>
        <v/>
      </c>
    </row>
    <row r="490" customFormat="false" ht="15" hidden="false" customHeight="false" outlineLevel="0" collapsed="false">
      <c r="A490" s="15" t="n">
        <f aca="false">A489+1</f>
        <v>488</v>
      </c>
      <c r="B490" s="15" t="n">
        <f aca="false">IF($A490="","",ROUNDUP($A490/12,0))</f>
        <v>41</v>
      </c>
      <c r="C490" s="15" t="n">
        <f aca="false">IF($A490="","",PARAMETROS!$C$6+INT(($A490-1)/12))</f>
        <v>105</v>
      </c>
      <c r="D490" s="15" t="n">
        <f aca="false">IF($A490="","",MOD($A490-1,12)+1)</f>
        <v>8</v>
      </c>
      <c r="E490" s="16" t="str">
        <f aca="false">IF($A490&gt;PARAMETROS!$C$33,"",P489)</f>
        <v/>
      </c>
      <c r="F490" s="17" t="str">
        <f aca="false">IF($A490&gt;PARAMETROS!$C$33,"",PARAMETROS!$C$38)</f>
        <v/>
      </c>
      <c r="G490" s="16" t="str">
        <f aca="false">IF($A490&gt;PARAMETROS!$C$33,"",E490*F490)</f>
        <v/>
      </c>
      <c r="H490" s="16" t="str">
        <f aca="false">IF($A490&gt;PARAMETROS!$C$33,"",E490*PARAMETROS!$C$39)</f>
        <v/>
      </c>
      <c r="I490" s="16" t="str">
        <f aca="false">IF($A490&gt;PARAMETROS!$C$33,"",G490-H490)</f>
        <v/>
      </c>
      <c r="J490" s="16" t="str">
        <f aca="false">IF($A490&gt;PARAMETROS!$C$33,"",PARAMETROS!$C$9*(1+PARAMETROS!$C$17)^(B490-1))</f>
        <v/>
      </c>
      <c r="K490" s="16" t="str">
        <f aca="false">IF($A490&gt;PARAMETROS!$C$33,"",K489*(1+PARAMETROS!$C$36))</f>
        <v/>
      </c>
      <c r="L490" s="16" t="str">
        <f aca="false">IF($A490&gt;PARAMETROS!$C$33,"",L489*(1+PARAMETROS!$C$37)*(1+M490))</f>
        <v/>
      </c>
      <c r="M490" s="17" t="str">
        <f aca="false">IF($A490&gt;PARAMETROS!$C$33,"",IF(C490&lt;70,PARAMETROS!$C$40,IF(C490&lt;75,PARAMETROS!$C$41,IF(C490&lt;80,PARAMETROS!$C$42,IF(C490&lt;85,PARAMETROS!$C$43,IF(C490&lt;90,PARAMETROS!$C$44,PARAMETROS!$C$45))))))</f>
        <v/>
      </c>
      <c r="N490" s="16" t="str">
        <f aca="false">IF($A490&gt;PARAMETROS!$C$33,"",K490+L490)</f>
        <v/>
      </c>
      <c r="O490" s="16" t="str">
        <f aca="false">IF($A490&gt;PARAMETROS!$C$33,"",I490+J490-N490)</f>
        <v/>
      </c>
      <c r="P490" s="16" t="str">
        <f aca="false">IF($A490&gt;PARAMETROS!$C$33,"",MAX(E490+I490+J490-N490,0))</f>
        <v/>
      </c>
      <c r="Q490" s="18" t="str">
        <f aca="false">IF($A490&gt;PARAMETROS!$C$33,"",IF(P490&lt;=0,"AGOTADO","OK"))</f>
        <v/>
      </c>
    </row>
    <row r="491" customFormat="false" ht="15" hidden="false" customHeight="false" outlineLevel="0" collapsed="false">
      <c r="A491" s="15" t="n">
        <f aca="false">A490+1</f>
        <v>489</v>
      </c>
      <c r="B491" s="15" t="n">
        <f aca="false">IF($A491="","",ROUNDUP($A491/12,0))</f>
        <v>41</v>
      </c>
      <c r="C491" s="15" t="n">
        <f aca="false">IF($A491="","",PARAMETROS!$C$6+INT(($A491-1)/12))</f>
        <v>105</v>
      </c>
      <c r="D491" s="15" t="n">
        <f aca="false">IF($A491="","",MOD($A491-1,12)+1)</f>
        <v>9</v>
      </c>
      <c r="E491" s="16" t="str">
        <f aca="false">IF($A491&gt;PARAMETROS!$C$33,"",P490)</f>
        <v/>
      </c>
      <c r="F491" s="17" t="str">
        <f aca="false">IF($A491&gt;PARAMETROS!$C$33,"",PARAMETROS!$C$38)</f>
        <v/>
      </c>
      <c r="G491" s="16" t="str">
        <f aca="false">IF($A491&gt;PARAMETROS!$C$33,"",E491*F491)</f>
        <v/>
      </c>
      <c r="H491" s="16" t="str">
        <f aca="false">IF($A491&gt;PARAMETROS!$C$33,"",E491*PARAMETROS!$C$39)</f>
        <v/>
      </c>
      <c r="I491" s="16" t="str">
        <f aca="false">IF($A491&gt;PARAMETROS!$C$33,"",G491-H491)</f>
        <v/>
      </c>
      <c r="J491" s="16" t="str">
        <f aca="false">IF($A491&gt;PARAMETROS!$C$33,"",PARAMETROS!$C$9*(1+PARAMETROS!$C$17)^(B491-1))</f>
        <v/>
      </c>
      <c r="K491" s="16" t="str">
        <f aca="false">IF($A491&gt;PARAMETROS!$C$33,"",K490*(1+PARAMETROS!$C$36))</f>
        <v/>
      </c>
      <c r="L491" s="16" t="str">
        <f aca="false">IF($A491&gt;PARAMETROS!$C$33,"",L490*(1+PARAMETROS!$C$37)*(1+M491))</f>
        <v/>
      </c>
      <c r="M491" s="17" t="str">
        <f aca="false">IF($A491&gt;PARAMETROS!$C$33,"",IF(C491&lt;70,PARAMETROS!$C$40,IF(C491&lt;75,PARAMETROS!$C$41,IF(C491&lt;80,PARAMETROS!$C$42,IF(C491&lt;85,PARAMETROS!$C$43,IF(C491&lt;90,PARAMETROS!$C$44,PARAMETROS!$C$45))))))</f>
        <v/>
      </c>
      <c r="N491" s="16" t="str">
        <f aca="false">IF($A491&gt;PARAMETROS!$C$33,"",K491+L491)</f>
        <v/>
      </c>
      <c r="O491" s="16" t="str">
        <f aca="false">IF($A491&gt;PARAMETROS!$C$33,"",I491+J491-N491)</f>
        <v/>
      </c>
      <c r="P491" s="16" t="str">
        <f aca="false">IF($A491&gt;PARAMETROS!$C$33,"",MAX(E491+I491+J491-N491,0))</f>
        <v/>
      </c>
      <c r="Q491" s="18" t="str">
        <f aca="false">IF($A491&gt;PARAMETROS!$C$33,"",IF(P491&lt;=0,"AGOTADO","OK"))</f>
        <v/>
      </c>
    </row>
    <row r="492" customFormat="false" ht="15" hidden="false" customHeight="false" outlineLevel="0" collapsed="false">
      <c r="A492" s="15" t="n">
        <f aca="false">A491+1</f>
        <v>490</v>
      </c>
      <c r="B492" s="15" t="n">
        <f aca="false">IF($A492="","",ROUNDUP($A492/12,0))</f>
        <v>41</v>
      </c>
      <c r="C492" s="15" t="n">
        <f aca="false">IF($A492="","",PARAMETROS!$C$6+INT(($A492-1)/12))</f>
        <v>105</v>
      </c>
      <c r="D492" s="15" t="n">
        <f aca="false">IF($A492="","",MOD($A492-1,12)+1)</f>
        <v>10</v>
      </c>
      <c r="E492" s="16" t="str">
        <f aca="false">IF($A492&gt;PARAMETROS!$C$33,"",P491)</f>
        <v/>
      </c>
      <c r="F492" s="17" t="str">
        <f aca="false">IF($A492&gt;PARAMETROS!$C$33,"",PARAMETROS!$C$38)</f>
        <v/>
      </c>
      <c r="G492" s="16" t="str">
        <f aca="false">IF($A492&gt;PARAMETROS!$C$33,"",E492*F492)</f>
        <v/>
      </c>
      <c r="H492" s="16" t="str">
        <f aca="false">IF($A492&gt;PARAMETROS!$C$33,"",E492*PARAMETROS!$C$39)</f>
        <v/>
      </c>
      <c r="I492" s="16" t="str">
        <f aca="false">IF($A492&gt;PARAMETROS!$C$33,"",G492-H492)</f>
        <v/>
      </c>
      <c r="J492" s="16" t="str">
        <f aca="false">IF($A492&gt;PARAMETROS!$C$33,"",PARAMETROS!$C$9*(1+PARAMETROS!$C$17)^(B492-1))</f>
        <v/>
      </c>
      <c r="K492" s="16" t="str">
        <f aca="false">IF($A492&gt;PARAMETROS!$C$33,"",K491*(1+PARAMETROS!$C$36))</f>
        <v/>
      </c>
      <c r="L492" s="16" t="str">
        <f aca="false">IF($A492&gt;PARAMETROS!$C$33,"",L491*(1+PARAMETROS!$C$37)*(1+M492))</f>
        <v/>
      </c>
      <c r="M492" s="17" t="str">
        <f aca="false">IF($A492&gt;PARAMETROS!$C$33,"",IF(C492&lt;70,PARAMETROS!$C$40,IF(C492&lt;75,PARAMETROS!$C$41,IF(C492&lt;80,PARAMETROS!$C$42,IF(C492&lt;85,PARAMETROS!$C$43,IF(C492&lt;90,PARAMETROS!$C$44,PARAMETROS!$C$45))))))</f>
        <v/>
      </c>
      <c r="N492" s="16" t="str">
        <f aca="false">IF($A492&gt;PARAMETROS!$C$33,"",K492+L492)</f>
        <v/>
      </c>
      <c r="O492" s="16" t="str">
        <f aca="false">IF($A492&gt;PARAMETROS!$C$33,"",I492+J492-N492)</f>
        <v/>
      </c>
      <c r="P492" s="16" t="str">
        <f aca="false">IF($A492&gt;PARAMETROS!$C$33,"",MAX(E492+I492+J492-N492,0))</f>
        <v/>
      </c>
      <c r="Q492" s="18" t="str">
        <f aca="false">IF($A492&gt;PARAMETROS!$C$33,"",IF(P492&lt;=0,"AGOTADO","OK"))</f>
        <v/>
      </c>
    </row>
    <row r="493" customFormat="false" ht="15" hidden="false" customHeight="false" outlineLevel="0" collapsed="false">
      <c r="A493" s="15" t="n">
        <f aca="false">A492+1</f>
        <v>491</v>
      </c>
      <c r="B493" s="15" t="n">
        <f aca="false">IF($A493="","",ROUNDUP($A493/12,0))</f>
        <v>41</v>
      </c>
      <c r="C493" s="15" t="n">
        <f aca="false">IF($A493="","",PARAMETROS!$C$6+INT(($A493-1)/12))</f>
        <v>105</v>
      </c>
      <c r="D493" s="15" t="n">
        <f aca="false">IF($A493="","",MOD($A493-1,12)+1)</f>
        <v>11</v>
      </c>
      <c r="E493" s="16" t="str">
        <f aca="false">IF($A493&gt;PARAMETROS!$C$33,"",P492)</f>
        <v/>
      </c>
      <c r="F493" s="17" t="str">
        <f aca="false">IF($A493&gt;PARAMETROS!$C$33,"",PARAMETROS!$C$38)</f>
        <v/>
      </c>
      <c r="G493" s="16" t="str">
        <f aca="false">IF($A493&gt;PARAMETROS!$C$33,"",E493*F493)</f>
        <v/>
      </c>
      <c r="H493" s="16" t="str">
        <f aca="false">IF($A493&gt;PARAMETROS!$C$33,"",E493*PARAMETROS!$C$39)</f>
        <v/>
      </c>
      <c r="I493" s="16" t="str">
        <f aca="false">IF($A493&gt;PARAMETROS!$C$33,"",G493-H493)</f>
        <v/>
      </c>
      <c r="J493" s="16" t="str">
        <f aca="false">IF($A493&gt;PARAMETROS!$C$33,"",PARAMETROS!$C$9*(1+PARAMETROS!$C$17)^(B493-1))</f>
        <v/>
      </c>
      <c r="K493" s="16" t="str">
        <f aca="false">IF($A493&gt;PARAMETROS!$C$33,"",K492*(1+PARAMETROS!$C$36))</f>
        <v/>
      </c>
      <c r="L493" s="16" t="str">
        <f aca="false">IF($A493&gt;PARAMETROS!$C$33,"",L492*(1+PARAMETROS!$C$37)*(1+M493))</f>
        <v/>
      </c>
      <c r="M493" s="17" t="str">
        <f aca="false">IF($A493&gt;PARAMETROS!$C$33,"",IF(C493&lt;70,PARAMETROS!$C$40,IF(C493&lt;75,PARAMETROS!$C$41,IF(C493&lt;80,PARAMETROS!$C$42,IF(C493&lt;85,PARAMETROS!$C$43,IF(C493&lt;90,PARAMETROS!$C$44,PARAMETROS!$C$45))))))</f>
        <v/>
      </c>
      <c r="N493" s="16" t="str">
        <f aca="false">IF($A493&gt;PARAMETROS!$C$33,"",K493+L493)</f>
        <v/>
      </c>
      <c r="O493" s="16" t="str">
        <f aca="false">IF($A493&gt;PARAMETROS!$C$33,"",I493+J493-N493)</f>
        <v/>
      </c>
      <c r="P493" s="16" t="str">
        <f aca="false">IF($A493&gt;PARAMETROS!$C$33,"",MAX(E493+I493+J493-N493,0))</f>
        <v/>
      </c>
      <c r="Q493" s="18" t="str">
        <f aca="false">IF($A493&gt;PARAMETROS!$C$33,"",IF(P493&lt;=0,"AGOTADO","OK"))</f>
        <v/>
      </c>
    </row>
    <row r="494" customFormat="false" ht="15" hidden="false" customHeight="false" outlineLevel="0" collapsed="false">
      <c r="A494" s="15" t="n">
        <f aca="false">A493+1</f>
        <v>492</v>
      </c>
      <c r="B494" s="15" t="n">
        <f aca="false">IF($A494="","",ROUNDUP($A494/12,0))</f>
        <v>41</v>
      </c>
      <c r="C494" s="15" t="n">
        <f aca="false">IF($A494="","",PARAMETROS!$C$6+INT(($A494-1)/12))</f>
        <v>105</v>
      </c>
      <c r="D494" s="15" t="n">
        <f aca="false">IF($A494="","",MOD($A494-1,12)+1)</f>
        <v>12</v>
      </c>
      <c r="E494" s="16" t="str">
        <f aca="false">IF($A494&gt;PARAMETROS!$C$33,"",P493)</f>
        <v/>
      </c>
      <c r="F494" s="17" t="str">
        <f aca="false">IF($A494&gt;PARAMETROS!$C$33,"",PARAMETROS!$C$38)</f>
        <v/>
      </c>
      <c r="G494" s="16" t="str">
        <f aca="false">IF($A494&gt;PARAMETROS!$C$33,"",E494*F494)</f>
        <v/>
      </c>
      <c r="H494" s="16" t="str">
        <f aca="false">IF($A494&gt;PARAMETROS!$C$33,"",E494*PARAMETROS!$C$39)</f>
        <v/>
      </c>
      <c r="I494" s="16" t="str">
        <f aca="false">IF($A494&gt;PARAMETROS!$C$33,"",G494-H494)</f>
        <v/>
      </c>
      <c r="J494" s="16" t="str">
        <f aca="false">IF($A494&gt;PARAMETROS!$C$33,"",PARAMETROS!$C$9*(1+PARAMETROS!$C$17)^(B494-1))</f>
        <v/>
      </c>
      <c r="K494" s="16" t="str">
        <f aca="false">IF($A494&gt;PARAMETROS!$C$33,"",K493*(1+PARAMETROS!$C$36))</f>
        <v/>
      </c>
      <c r="L494" s="16" t="str">
        <f aca="false">IF($A494&gt;PARAMETROS!$C$33,"",L493*(1+PARAMETROS!$C$37)*(1+M494))</f>
        <v/>
      </c>
      <c r="M494" s="17" t="str">
        <f aca="false">IF($A494&gt;PARAMETROS!$C$33,"",IF(C494&lt;70,PARAMETROS!$C$40,IF(C494&lt;75,PARAMETROS!$C$41,IF(C494&lt;80,PARAMETROS!$C$42,IF(C494&lt;85,PARAMETROS!$C$43,IF(C494&lt;90,PARAMETROS!$C$44,PARAMETROS!$C$45))))))</f>
        <v/>
      </c>
      <c r="N494" s="16" t="str">
        <f aca="false">IF($A494&gt;PARAMETROS!$C$33,"",K494+L494)</f>
        <v/>
      </c>
      <c r="O494" s="16" t="str">
        <f aca="false">IF($A494&gt;PARAMETROS!$C$33,"",I494+J494-N494)</f>
        <v/>
      </c>
      <c r="P494" s="16" t="str">
        <f aca="false">IF($A494&gt;PARAMETROS!$C$33,"",MAX(E494+I494+J494-N494,0))</f>
        <v/>
      </c>
      <c r="Q494" s="18" t="str">
        <f aca="false">IF($A494&gt;PARAMETROS!$C$33,"",IF(P494&lt;=0,"AGOTADO","OK"))</f>
        <v/>
      </c>
    </row>
    <row r="495" customFormat="false" ht="15" hidden="false" customHeight="false" outlineLevel="0" collapsed="false">
      <c r="A495" s="19" t="n">
        <f aca="false">A494+1</f>
        <v>493</v>
      </c>
      <c r="B495" s="19" t="n">
        <f aca="false">IF($A495="","",ROUNDUP($A495/12,0))</f>
        <v>42</v>
      </c>
      <c r="C495" s="19" t="n">
        <f aca="false">IF($A495="","",PARAMETROS!$C$6+INT(($A495-1)/12))</f>
        <v>106</v>
      </c>
      <c r="D495" s="19" t="n">
        <f aca="false">IF($A495="","",MOD($A495-1,12)+1)</f>
        <v>1</v>
      </c>
      <c r="E495" s="20" t="str">
        <f aca="false">IF($A495&gt;PARAMETROS!$C$33,"",P494)</f>
        <v/>
      </c>
      <c r="F495" s="21" t="str">
        <f aca="false">IF($A495&gt;PARAMETROS!$C$33,"",PARAMETROS!$C$38)</f>
        <v/>
      </c>
      <c r="G495" s="20" t="str">
        <f aca="false">IF($A495&gt;PARAMETROS!$C$33,"",E495*F495)</f>
        <v/>
      </c>
      <c r="H495" s="20" t="str">
        <f aca="false">IF($A495&gt;PARAMETROS!$C$33,"",E495*PARAMETROS!$C$39)</f>
        <v/>
      </c>
      <c r="I495" s="20" t="str">
        <f aca="false">IF($A495&gt;PARAMETROS!$C$33,"",G495-H495)</f>
        <v/>
      </c>
      <c r="J495" s="20" t="str">
        <f aca="false">IF($A495&gt;PARAMETROS!$C$33,"",PARAMETROS!$C$9*(1+PARAMETROS!$C$17)^(B495-1))</f>
        <v/>
      </c>
      <c r="K495" s="20" t="str">
        <f aca="false">IF($A495&gt;PARAMETROS!$C$33,"",K494*(1+PARAMETROS!$C$36))</f>
        <v/>
      </c>
      <c r="L495" s="20" t="str">
        <f aca="false">IF($A495&gt;PARAMETROS!$C$33,"",L494*(1+PARAMETROS!$C$37)*(1+M495))</f>
        <v/>
      </c>
      <c r="M495" s="21" t="str">
        <f aca="false">IF($A495&gt;PARAMETROS!$C$33,"",IF(C495&lt;70,PARAMETROS!$C$40,IF(C495&lt;75,PARAMETROS!$C$41,IF(C495&lt;80,PARAMETROS!$C$42,IF(C495&lt;85,PARAMETROS!$C$43,IF(C495&lt;90,PARAMETROS!$C$44,PARAMETROS!$C$45))))))</f>
        <v/>
      </c>
      <c r="N495" s="20" t="str">
        <f aca="false">IF($A495&gt;PARAMETROS!$C$33,"",K495+L495)</f>
        <v/>
      </c>
      <c r="O495" s="20" t="str">
        <f aca="false">IF($A495&gt;PARAMETROS!$C$33,"",I495+J495-N495)</f>
        <v/>
      </c>
      <c r="P495" s="20" t="str">
        <f aca="false">IF($A495&gt;PARAMETROS!$C$33,"",MAX(E495+I495+J495-N495,0))</f>
        <v/>
      </c>
      <c r="Q495" s="22" t="str">
        <f aca="false">IF($A495&gt;PARAMETROS!$C$33,"",IF(P495&lt;=0,"AGOTADO","OK"))</f>
        <v/>
      </c>
    </row>
    <row r="496" customFormat="false" ht="15" hidden="false" customHeight="false" outlineLevel="0" collapsed="false">
      <c r="A496" s="19" t="n">
        <f aca="false">A495+1</f>
        <v>494</v>
      </c>
      <c r="B496" s="19" t="n">
        <f aca="false">IF($A496="","",ROUNDUP($A496/12,0))</f>
        <v>42</v>
      </c>
      <c r="C496" s="19" t="n">
        <f aca="false">IF($A496="","",PARAMETROS!$C$6+INT(($A496-1)/12))</f>
        <v>106</v>
      </c>
      <c r="D496" s="19" t="n">
        <f aca="false">IF($A496="","",MOD($A496-1,12)+1)</f>
        <v>2</v>
      </c>
      <c r="E496" s="20" t="str">
        <f aca="false">IF($A496&gt;PARAMETROS!$C$33,"",P495)</f>
        <v/>
      </c>
      <c r="F496" s="21" t="str">
        <f aca="false">IF($A496&gt;PARAMETROS!$C$33,"",PARAMETROS!$C$38)</f>
        <v/>
      </c>
      <c r="G496" s="20" t="str">
        <f aca="false">IF($A496&gt;PARAMETROS!$C$33,"",E496*F496)</f>
        <v/>
      </c>
      <c r="H496" s="20" t="str">
        <f aca="false">IF($A496&gt;PARAMETROS!$C$33,"",E496*PARAMETROS!$C$39)</f>
        <v/>
      </c>
      <c r="I496" s="20" t="str">
        <f aca="false">IF($A496&gt;PARAMETROS!$C$33,"",G496-H496)</f>
        <v/>
      </c>
      <c r="J496" s="20" t="str">
        <f aca="false">IF($A496&gt;PARAMETROS!$C$33,"",PARAMETROS!$C$9*(1+PARAMETROS!$C$17)^(B496-1))</f>
        <v/>
      </c>
      <c r="K496" s="20" t="str">
        <f aca="false">IF($A496&gt;PARAMETROS!$C$33,"",K495*(1+PARAMETROS!$C$36))</f>
        <v/>
      </c>
      <c r="L496" s="20" t="str">
        <f aca="false">IF($A496&gt;PARAMETROS!$C$33,"",L495*(1+PARAMETROS!$C$37)*(1+M496))</f>
        <v/>
      </c>
      <c r="M496" s="21" t="str">
        <f aca="false">IF($A496&gt;PARAMETROS!$C$33,"",IF(C496&lt;70,PARAMETROS!$C$40,IF(C496&lt;75,PARAMETROS!$C$41,IF(C496&lt;80,PARAMETROS!$C$42,IF(C496&lt;85,PARAMETROS!$C$43,IF(C496&lt;90,PARAMETROS!$C$44,PARAMETROS!$C$45))))))</f>
        <v/>
      </c>
      <c r="N496" s="20" t="str">
        <f aca="false">IF($A496&gt;PARAMETROS!$C$33,"",K496+L496)</f>
        <v/>
      </c>
      <c r="O496" s="20" t="str">
        <f aca="false">IF($A496&gt;PARAMETROS!$C$33,"",I496+J496-N496)</f>
        <v/>
      </c>
      <c r="P496" s="20" t="str">
        <f aca="false">IF($A496&gt;PARAMETROS!$C$33,"",MAX(E496+I496+J496-N496,0))</f>
        <v/>
      </c>
      <c r="Q496" s="22" t="str">
        <f aca="false">IF($A496&gt;PARAMETROS!$C$33,"",IF(P496&lt;=0,"AGOTADO","OK"))</f>
        <v/>
      </c>
    </row>
    <row r="497" customFormat="false" ht="15" hidden="false" customHeight="false" outlineLevel="0" collapsed="false">
      <c r="A497" s="19" t="n">
        <f aca="false">A496+1</f>
        <v>495</v>
      </c>
      <c r="B497" s="19" t="n">
        <f aca="false">IF($A497="","",ROUNDUP($A497/12,0))</f>
        <v>42</v>
      </c>
      <c r="C497" s="19" t="n">
        <f aca="false">IF($A497="","",PARAMETROS!$C$6+INT(($A497-1)/12))</f>
        <v>106</v>
      </c>
      <c r="D497" s="19" t="n">
        <f aca="false">IF($A497="","",MOD($A497-1,12)+1)</f>
        <v>3</v>
      </c>
      <c r="E497" s="20" t="str">
        <f aca="false">IF($A497&gt;PARAMETROS!$C$33,"",P496)</f>
        <v/>
      </c>
      <c r="F497" s="21" t="str">
        <f aca="false">IF($A497&gt;PARAMETROS!$C$33,"",PARAMETROS!$C$38)</f>
        <v/>
      </c>
      <c r="G497" s="20" t="str">
        <f aca="false">IF($A497&gt;PARAMETROS!$C$33,"",E497*F497)</f>
        <v/>
      </c>
      <c r="H497" s="20" t="str">
        <f aca="false">IF($A497&gt;PARAMETROS!$C$33,"",E497*PARAMETROS!$C$39)</f>
        <v/>
      </c>
      <c r="I497" s="20" t="str">
        <f aca="false">IF($A497&gt;PARAMETROS!$C$33,"",G497-H497)</f>
        <v/>
      </c>
      <c r="J497" s="20" t="str">
        <f aca="false">IF($A497&gt;PARAMETROS!$C$33,"",PARAMETROS!$C$9*(1+PARAMETROS!$C$17)^(B497-1))</f>
        <v/>
      </c>
      <c r="K497" s="20" t="str">
        <f aca="false">IF($A497&gt;PARAMETROS!$C$33,"",K496*(1+PARAMETROS!$C$36))</f>
        <v/>
      </c>
      <c r="L497" s="20" t="str">
        <f aca="false">IF($A497&gt;PARAMETROS!$C$33,"",L496*(1+PARAMETROS!$C$37)*(1+M497))</f>
        <v/>
      </c>
      <c r="M497" s="21" t="str">
        <f aca="false">IF($A497&gt;PARAMETROS!$C$33,"",IF(C497&lt;70,PARAMETROS!$C$40,IF(C497&lt;75,PARAMETROS!$C$41,IF(C497&lt;80,PARAMETROS!$C$42,IF(C497&lt;85,PARAMETROS!$C$43,IF(C497&lt;90,PARAMETROS!$C$44,PARAMETROS!$C$45))))))</f>
        <v/>
      </c>
      <c r="N497" s="20" t="str">
        <f aca="false">IF($A497&gt;PARAMETROS!$C$33,"",K497+L497)</f>
        <v/>
      </c>
      <c r="O497" s="20" t="str">
        <f aca="false">IF($A497&gt;PARAMETROS!$C$33,"",I497+J497-N497)</f>
        <v/>
      </c>
      <c r="P497" s="20" t="str">
        <f aca="false">IF($A497&gt;PARAMETROS!$C$33,"",MAX(E497+I497+J497-N497,0))</f>
        <v/>
      </c>
      <c r="Q497" s="22" t="str">
        <f aca="false">IF($A497&gt;PARAMETROS!$C$33,"",IF(P497&lt;=0,"AGOTADO","OK"))</f>
        <v/>
      </c>
    </row>
    <row r="498" customFormat="false" ht="15" hidden="false" customHeight="false" outlineLevel="0" collapsed="false">
      <c r="A498" s="19" t="n">
        <f aca="false">A497+1</f>
        <v>496</v>
      </c>
      <c r="B498" s="19" t="n">
        <f aca="false">IF($A498="","",ROUNDUP($A498/12,0))</f>
        <v>42</v>
      </c>
      <c r="C498" s="19" t="n">
        <f aca="false">IF($A498="","",PARAMETROS!$C$6+INT(($A498-1)/12))</f>
        <v>106</v>
      </c>
      <c r="D498" s="19" t="n">
        <f aca="false">IF($A498="","",MOD($A498-1,12)+1)</f>
        <v>4</v>
      </c>
      <c r="E498" s="20" t="str">
        <f aca="false">IF($A498&gt;PARAMETROS!$C$33,"",P497)</f>
        <v/>
      </c>
      <c r="F498" s="21" t="str">
        <f aca="false">IF($A498&gt;PARAMETROS!$C$33,"",PARAMETROS!$C$38)</f>
        <v/>
      </c>
      <c r="G498" s="20" t="str">
        <f aca="false">IF($A498&gt;PARAMETROS!$C$33,"",E498*F498)</f>
        <v/>
      </c>
      <c r="H498" s="20" t="str">
        <f aca="false">IF($A498&gt;PARAMETROS!$C$33,"",E498*PARAMETROS!$C$39)</f>
        <v/>
      </c>
      <c r="I498" s="20" t="str">
        <f aca="false">IF($A498&gt;PARAMETROS!$C$33,"",G498-H498)</f>
        <v/>
      </c>
      <c r="J498" s="20" t="str">
        <f aca="false">IF($A498&gt;PARAMETROS!$C$33,"",PARAMETROS!$C$9*(1+PARAMETROS!$C$17)^(B498-1))</f>
        <v/>
      </c>
      <c r="K498" s="20" t="str">
        <f aca="false">IF($A498&gt;PARAMETROS!$C$33,"",K497*(1+PARAMETROS!$C$36))</f>
        <v/>
      </c>
      <c r="L498" s="20" t="str">
        <f aca="false">IF($A498&gt;PARAMETROS!$C$33,"",L497*(1+PARAMETROS!$C$37)*(1+M498))</f>
        <v/>
      </c>
      <c r="M498" s="21" t="str">
        <f aca="false">IF($A498&gt;PARAMETROS!$C$33,"",IF(C498&lt;70,PARAMETROS!$C$40,IF(C498&lt;75,PARAMETROS!$C$41,IF(C498&lt;80,PARAMETROS!$C$42,IF(C498&lt;85,PARAMETROS!$C$43,IF(C498&lt;90,PARAMETROS!$C$44,PARAMETROS!$C$45))))))</f>
        <v/>
      </c>
      <c r="N498" s="20" t="str">
        <f aca="false">IF($A498&gt;PARAMETROS!$C$33,"",K498+L498)</f>
        <v/>
      </c>
      <c r="O498" s="20" t="str">
        <f aca="false">IF($A498&gt;PARAMETROS!$C$33,"",I498+J498-N498)</f>
        <v/>
      </c>
      <c r="P498" s="20" t="str">
        <f aca="false">IF($A498&gt;PARAMETROS!$C$33,"",MAX(E498+I498+J498-N498,0))</f>
        <v/>
      </c>
      <c r="Q498" s="22" t="str">
        <f aca="false">IF($A498&gt;PARAMETROS!$C$33,"",IF(P498&lt;=0,"AGOTADO","OK"))</f>
        <v/>
      </c>
    </row>
    <row r="499" customFormat="false" ht="15" hidden="false" customHeight="false" outlineLevel="0" collapsed="false">
      <c r="A499" s="19" t="n">
        <f aca="false">A498+1</f>
        <v>497</v>
      </c>
      <c r="B499" s="19" t="n">
        <f aca="false">IF($A499="","",ROUNDUP($A499/12,0))</f>
        <v>42</v>
      </c>
      <c r="C499" s="19" t="n">
        <f aca="false">IF($A499="","",PARAMETROS!$C$6+INT(($A499-1)/12))</f>
        <v>106</v>
      </c>
      <c r="D499" s="19" t="n">
        <f aca="false">IF($A499="","",MOD($A499-1,12)+1)</f>
        <v>5</v>
      </c>
      <c r="E499" s="20" t="str">
        <f aca="false">IF($A499&gt;PARAMETROS!$C$33,"",P498)</f>
        <v/>
      </c>
      <c r="F499" s="21" t="str">
        <f aca="false">IF($A499&gt;PARAMETROS!$C$33,"",PARAMETROS!$C$38)</f>
        <v/>
      </c>
      <c r="G499" s="20" t="str">
        <f aca="false">IF($A499&gt;PARAMETROS!$C$33,"",E499*F499)</f>
        <v/>
      </c>
      <c r="H499" s="20" t="str">
        <f aca="false">IF($A499&gt;PARAMETROS!$C$33,"",E499*PARAMETROS!$C$39)</f>
        <v/>
      </c>
      <c r="I499" s="20" t="str">
        <f aca="false">IF($A499&gt;PARAMETROS!$C$33,"",G499-H499)</f>
        <v/>
      </c>
      <c r="J499" s="20" t="str">
        <f aca="false">IF($A499&gt;PARAMETROS!$C$33,"",PARAMETROS!$C$9*(1+PARAMETROS!$C$17)^(B499-1))</f>
        <v/>
      </c>
      <c r="K499" s="20" t="str">
        <f aca="false">IF($A499&gt;PARAMETROS!$C$33,"",K498*(1+PARAMETROS!$C$36))</f>
        <v/>
      </c>
      <c r="L499" s="20" t="str">
        <f aca="false">IF($A499&gt;PARAMETROS!$C$33,"",L498*(1+PARAMETROS!$C$37)*(1+M499))</f>
        <v/>
      </c>
      <c r="M499" s="21" t="str">
        <f aca="false">IF($A499&gt;PARAMETROS!$C$33,"",IF(C499&lt;70,PARAMETROS!$C$40,IF(C499&lt;75,PARAMETROS!$C$41,IF(C499&lt;80,PARAMETROS!$C$42,IF(C499&lt;85,PARAMETROS!$C$43,IF(C499&lt;90,PARAMETROS!$C$44,PARAMETROS!$C$45))))))</f>
        <v/>
      </c>
      <c r="N499" s="20" t="str">
        <f aca="false">IF($A499&gt;PARAMETROS!$C$33,"",K499+L499)</f>
        <v/>
      </c>
      <c r="O499" s="20" t="str">
        <f aca="false">IF($A499&gt;PARAMETROS!$C$33,"",I499+J499-N499)</f>
        <v/>
      </c>
      <c r="P499" s="20" t="str">
        <f aca="false">IF($A499&gt;PARAMETROS!$C$33,"",MAX(E499+I499+J499-N499,0))</f>
        <v/>
      </c>
      <c r="Q499" s="22" t="str">
        <f aca="false">IF($A499&gt;PARAMETROS!$C$33,"",IF(P499&lt;=0,"AGOTADO","OK"))</f>
        <v/>
      </c>
    </row>
    <row r="500" customFormat="false" ht="15" hidden="false" customHeight="false" outlineLevel="0" collapsed="false">
      <c r="A500" s="19" t="n">
        <f aca="false">A499+1</f>
        <v>498</v>
      </c>
      <c r="B500" s="19" t="n">
        <f aca="false">IF($A500="","",ROUNDUP($A500/12,0))</f>
        <v>42</v>
      </c>
      <c r="C500" s="19" t="n">
        <f aca="false">IF($A500="","",PARAMETROS!$C$6+INT(($A500-1)/12))</f>
        <v>106</v>
      </c>
      <c r="D500" s="19" t="n">
        <f aca="false">IF($A500="","",MOD($A500-1,12)+1)</f>
        <v>6</v>
      </c>
      <c r="E500" s="20" t="str">
        <f aca="false">IF($A500&gt;PARAMETROS!$C$33,"",P499)</f>
        <v/>
      </c>
      <c r="F500" s="21" t="str">
        <f aca="false">IF($A500&gt;PARAMETROS!$C$33,"",PARAMETROS!$C$38)</f>
        <v/>
      </c>
      <c r="G500" s="20" t="str">
        <f aca="false">IF($A500&gt;PARAMETROS!$C$33,"",E500*F500)</f>
        <v/>
      </c>
      <c r="H500" s="20" t="str">
        <f aca="false">IF($A500&gt;PARAMETROS!$C$33,"",E500*PARAMETROS!$C$39)</f>
        <v/>
      </c>
      <c r="I500" s="20" t="str">
        <f aca="false">IF($A500&gt;PARAMETROS!$C$33,"",G500-H500)</f>
        <v/>
      </c>
      <c r="J500" s="20" t="str">
        <f aca="false">IF($A500&gt;PARAMETROS!$C$33,"",PARAMETROS!$C$9*(1+PARAMETROS!$C$17)^(B500-1))</f>
        <v/>
      </c>
      <c r="K500" s="20" t="str">
        <f aca="false">IF($A500&gt;PARAMETROS!$C$33,"",K499*(1+PARAMETROS!$C$36))</f>
        <v/>
      </c>
      <c r="L500" s="20" t="str">
        <f aca="false">IF($A500&gt;PARAMETROS!$C$33,"",L499*(1+PARAMETROS!$C$37)*(1+M500))</f>
        <v/>
      </c>
      <c r="M500" s="21" t="str">
        <f aca="false">IF($A500&gt;PARAMETROS!$C$33,"",IF(C500&lt;70,PARAMETROS!$C$40,IF(C500&lt;75,PARAMETROS!$C$41,IF(C500&lt;80,PARAMETROS!$C$42,IF(C500&lt;85,PARAMETROS!$C$43,IF(C500&lt;90,PARAMETROS!$C$44,PARAMETROS!$C$45))))))</f>
        <v/>
      </c>
      <c r="N500" s="20" t="str">
        <f aca="false">IF($A500&gt;PARAMETROS!$C$33,"",K500+L500)</f>
        <v/>
      </c>
      <c r="O500" s="20" t="str">
        <f aca="false">IF($A500&gt;PARAMETROS!$C$33,"",I500+J500-N500)</f>
        <v/>
      </c>
      <c r="P500" s="20" t="str">
        <f aca="false">IF($A500&gt;PARAMETROS!$C$33,"",MAX(E500+I500+J500-N500,0))</f>
        <v/>
      </c>
      <c r="Q500" s="22" t="str">
        <f aca="false">IF($A500&gt;PARAMETROS!$C$33,"",IF(P500&lt;=0,"AGOTADO","OK"))</f>
        <v/>
      </c>
    </row>
    <row r="501" customFormat="false" ht="15" hidden="false" customHeight="false" outlineLevel="0" collapsed="false">
      <c r="A501" s="19" t="n">
        <f aca="false">A500+1</f>
        <v>499</v>
      </c>
      <c r="B501" s="19" t="n">
        <f aca="false">IF($A501="","",ROUNDUP($A501/12,0))</f>
        <v>42</v>
      </c>
      <c r="C501" s="19" t="n">
        <f aca="false">IF($A501="","",PARAMETROS!$C$6+INT(($A501-1)/12))</f>
        <v>106</v>
      </c>
      <c r="D501" s="19" t="n">
        <f aca="false">IF($A501="","",MOD($A501-1,12)+1)</f>
        <v>7</v>
      </c>
      <c r="E501" s="20" t="str">
        <f aca="false">IF($A501&gt;PARAMETROS!$C$33,"",P500)</f>
        <v/>
      </c>
      <c r="F501" s="21" t="str">
        <f aca="false">IF($A501&gt;PARAMETROS!$C$33,"",PARAMETROS!$C$38)</f>
        <v/>
      </c>
      <c r="G501" s="20" t="str">
        <f aca="false">IF($A501&gt;PARAMETROS!$C$33,"",E501*F501)</f>
        <v/>
      </c>
      <c r="H501" s="20" t="str">
        <f aca="false">IF($A501&gt;PARAMETROS!$C$33,"",E501*PARAMETROS!$C$39)</f>
        <v/>
      </c>
      <c r="I501" s="20" t="str">
        <f aca="false">IF($A501&gt;PARAMETROS!$C$33,"",G501-H501)</f>
        <v/>
      </c>
      <c r="J501" s="20" t="str">
        <f aca="false">IF($A501&gt;PARAMETROS!$C$33,"",PARAMETROS!$C$9*(1+PARAMETROS!$C$17)^(B501-1))</f>
        <v/>
      </c>
      <c r="K501" s="20" t="str">
        <f aca="false">IF($A501&gt;PARAMETROS!$C$33,"",K500*(1+PARAMETROS!$C$36))</f>
        <v/>
      </c>
      <c r="L501" s="20" t="str">
        <f aca="false">IF($A501&gt;PARAMETROS!$C$33,"",L500*(1+PARAMETROS!$C$37)*(1+M501))</f>
        <v/>
      </c>
      <c r="M501" s="21" t="str">
        <f aca="false">IF($A501&gt;PARAMETROS!$C$33,"",IF(C501&lt;70,PARAMETROS!$C$40,IF(C501&lt;75,PARAMETROS!$C$41,IF(C501&lt;80,PARAMETROS!$C$42,IF(C501&lt;85,PARAMETROS!$C$43,IF(C501&lt;90,PARAMETROS!$C$44,PARAMETROS!$C$45))))))</f>
        <v/>
      </c>
      <c r="N501" s="20" t="str">
        <f aca="false">IF($A501&gt;PARAMETROS!$C$33,"",K501+L501)</f>
        <v/>
      </c>
      <c r="O501" s="20" t="str">
        <f aca="false">IF($A501&gt;PARAMETROS!$C$33,"",I501+J501-N501)</f>
        <v/>
      </c>
      <c r="P501" s="20" t="str">
        <f aca="false">IF($A501&gt;PARAMETROS!$C$33,"",MAX(E501+I501+J501-N501,0))</f>
        <v/>
      </c>
      <c r="Q501" s="22" t="str">
        <f aca="false">IF($A501&gt;PARAMETROS!$C$33,"",IF(P501&lt;=0,"AGOTADO","OK"))</f>
        <v/>
      </c>
    </row>
    <row r="502" customFormat="false" ht="15" hidden="false" customHeight="false" outlineLevel="0" collapsed="false">
      <c r="A502" s="19" t="n">
        <f aca="false">A501+1</f>
        <v>500</v>
      </c>
      <c r="B502" s="19" t="n">
        <f aca="false">IF($A502="","",ROUNDUP($A502/12,0))</f>
        <v>42</v>
      </c>
      <c r="C502" s="19" t="n">
        <f aca="false">IF($A502="","",PARAMETROS!$C$6+INT(($A502-1)/12))</f>
        <v>106</v>
      </c>
      <c r="D502" s="19" t="n">
        <f aca="false">IF($A502="","",MOD($A502-1,12)+1)</f>
        <v>8</v>
      </c>
      <c r="E502" s="20" t="str">
        <f aca="false">IF($A502&gt;PARAMETROS!$C$33,"",P501)</f>
        <v/>
      </c>
      <c r="F502" s="21" t="str">
        <f aca="false">IF($A502&gt;PARAMETROS!$C$33,"",PARAMETROS!$C$38)</f>
        <v/>
      </c>
      <c r="G502" s="20" t="str">
        <f aca="false">IF($A502&gt;PARAMETROS!$C$33,"",E502*F502)</f>
        <v/>
      </c>
      <c r="H502" s="20" t="str">
        <f aca="false">IF($A502&gt;PARAMETROS!$C$33,"",E502*PARAMETROS!$C$39)</f>
        <v/>
      </c>
      <c r="I502" s="20" t="str">
        <f aca="false">IF($A502&gt;PARAMETROS!$C$33,"",G502-H502)</f>
        <v/>
      </c>
      <c r="J502" s="20" t="str">
        <f aca="false">IF($A502&gt;PARAMETROS!$C$33,"",PARAMETROS!$C$9*(1+PARAMETROS!$C$17)^(B502-1))</f>
        <v/>
      </c>
      <c r="K502" s="20" t="str">
        <f aca="false">IF($A502&gt;PARAMETROS!$C$33,"",K501*(1+PARAMETROS!$C$36))</f>
        <v/>
      </c>
      <c r="L502" s="20" t="str">
        <f aca="false">IF($A502&gt;PARAMETROS!$C$33,"",L501*(1+PARAMETROS!$C$37)*(1+M502))</f>
        <v/>
      </c>
      <c r="M502" s="21" t="str">
        <f aca="false">IF($A502&gt;PARAMETROS!$C$33,"",IF(C502&lt;70,PARAMETROS!$C$40,IF(C502&lt;75,PARAMETROS!$C$41,IF(C502&lt;80,PARAMETROS!$C$42,IF(C502&lt;85,PARAMETROS!$C$43,IF(C502&lt;90,PARAMETROS!$C$44,PARAMETROS!$C$45))))))</f>
        <v/>
      </c>
      <c r="N502" s="20" t="str">
        <f aca="false">IF($A502&gt;PARAMETROS!$C$33,"",K502+L502)</f>
        <v/>
      </c>
      <c r="O502" s="20" t="str">
        <f aca="false">IF($A502&gt;PARAMETROS!$C$33,"",I502+J502-N502)</f>
        <v/>
      </c>
      <c r="P502" s="20" t="str">
        <f aca="false">IF($A502&gt;PARAMETROS!$C$33,"",MAX(E502+I502+J502-N502,0))</f>
        <v/>
      </c>
      <c r="Q502" s="22" t="str">
        <f aca="false">IF($A502&gt;PARAMETROS!$C$33,"",IF(P502&lt;=0,"AGOTADO","OK"))</f>
        <v/>
      </c>
    </row>
    <row r="503" customFormat="false" ht="15" hidden="false" customHeight="false" outlineLevel="0" collapsed="false">
      <c r="A503" s="19" t="n">
        <f aca="false">A502+1</f>
        <v>501</v>
      </c>
      <c r="B503" s="19" t="n">
        <f aca="false">IF($A503="","",ROUNDUP($A503/12,0))</f>
        <v>42</v>
      </c>
      <c r="C503" s="19" t="n">
        <f aca="false">IF($A503="","",PARAMETROS!$C$6+INT(($A503-1)/12))</f>
        <v>106</v>
      </c>
      <c r="D503" s="19" t="n">
        <f aca="false">IF($A503="","",MOD($A503-1,12)+1)</f>
        <v>9</v>
      </c>
      <c r="E503" s="20" t="str">
        <f aca="false">IF($A503&gt;PARAMETROS!$C$33,"",P502)</f>
        <v/>
      </c>
      <c r="F503" s="21" t="str">
        <f aca="false">IF($A503&gt;PARAMETROS!$C$33,"",PARAMETROS!$C$38)</f>
        <v/>
      </c>
      <c r="G503" s="20" t="str">
        <f aca="false">IF($A503&gt;PARAMETROS!$C$33,"",E503*F503)</f>
        <v/>
      </c>
      <c r="H503" s="20" t="str">
        <f aca="false">IF($A503&gt;PARAMETROS!$C$33,"",E503*PARAMETROS!$C$39)</f>
        <v/>
      </c>
      <c r="I503" s="20" t="str">
        <f aca="false">IF($A503&gt;PARAMETROS!$C$33,"",G503-H503)</f>
        <v/>
      </c>
      <c r="J503" s="20" t="str">
        <f aca="false">IF($A503&gt;PARAMETROS!$C$33,"",PARAMETROS!$C$9*(1+PARAMETROS!$C$17)^(B503-1))</f>
        <v/>
      </c>
      <c r="K503" s="20" t="str">
        <f aca="false">IF($A503&gt;PARAMETROS!$C$33,"",K502*(1+PARAMETROS!$C$36))</f>
        <v/>
      </c>
      <c r="L503" s="20" t="str">
        <f aca="false">IF($A503&gt;PARAMETROS!$C$33,"",L502*(1+PARAMETROS!$C$37)*(1+M503))</f>
        <v/>
      </c>
      <c r="M503" s="21" t="str">
        <f aca="false">IF($A503&gt;PARAMETROS!$C$33,"",IF(C503&lt;70,PARAMETROS!$C$40,IF(C503&lt;75,PARAMETROS!$C$41,IF(C503&lt;80,PARAMETROS!$C$42,IF(C503&lt;85,PARAMETROS!$C$43,IF(C503&lt;90,PARAMETROS!$C$44,PARAMETROS!$C$45))))))</f>
        <v/>
      </c>
      <c r="N503" s="20" t="str">
        <f aca="false">IF($A503&gt;PARAMETROS!$C$33,"",K503+L503)</f>
        <v/>
      </c>
      <c r="O503" s="20" t="str">
        <f aca="false">IF($A503&gt;PARAMETROS!$C$33,"",I503+J503-N503)</f>
        <v/>
      </c>
      <c r="P503" s="20" t="str">
        <f aca="false">IF($A503&gt;PARAMETROS!$C$33,"",MAX(E503+I503+J503-N503,0))</f>
        <v/>
      </c>
      <c r="Q503" s="22" t="str">
        <f aca="false">IF($A503&gt;PARAMETROS!$C$33,"",IF(P503&lt;=0,"AGOTADO","OK"))</f>
        <v/>
      </c>
    </row>
    <row r="504" customFormat="false" ht="15" hidden="false" customHeight="false" outlineLevel="0" collapsed="false">
      <c r="A504" s="19" t="n">
        <f aca="false">A503+1</f>
        <v>502</v>
      </c>
      <c r="B504" s="19" t="n">
        <f aca="false">IF($A504="","",ROUNDUP($A504/12,0))</f>
        <v>42</v>
      </c>
      <c r="C504" s="19" t="n">
        <f aca="false">IF($A504="","",PARAMETROS!$C$6+INT(($A504-1)/12))</f>
        <v>106</v>
      </c>
      <c r="D504" s="19" t="n">
        <f aca="false">IF($A504="","",MOD($A504-1,12)+1)</f>
        <v>10</v>
      </c>
      <c r="E504" s="20" t="str">
        <f aca="false">IF($A504&gt;PARAMETROS!$C$33,"",P503)</f>
        <v/>
      </c>
      <c r="F504" s="21" t="str">
        <f aca="false">IF($A504&gt;PARAMETROS!$C$33,"",PARAMETROS!$C$38)</f>
        <v/>
      </c>
      <c r="G504" s="20" t="str">
        <f aca="false">IF($A504&gt;PARAMETROS!$C$33,"",E504*F504)</f>
        <v/>
      </c>
      <c r="H504" s="20" t="str">
        <f aca="false">IF($A504&gt;PARAMETROS!$C$33,"",E504*PARAMETROS!$C$39)</f>
        <v/>
      </c>
      <c r="I504" s="20" t="str">
        <f aca="false">IF($A504&gt;PARAMETROS!$C$33,"",G504-H504)</f>
        <v/>
      </c>
      <c r="J504" s="20" t="str">
        <f aca="false">IF($A504&gt;PARAMETROS!$C$33,"",PARAMETROS!$C$9*(1+PARAMETROS!$C$17)^(B504-1))</f>
        <v/>
      </c>
      <c r="K504" s="20" t="str">
        <f aca="false">IF($A504&gt;PARAMETROS!$C$33,"",K503*(1+PARAMETROS!$C$36))</f>
        <v/>
      </c>
      <c r="L504" s="20" t="str">
        <f aca="false">IF($A504&gt;PARAMETROS!$C$33,"",L503*(1+PARAMETROS!$C$37)*(1+M504))</f>
        <v/>
      </c>
      <c r="M504" s="21" t="str">
        <f aca="false">IF($A504&gt;PARAMETROS!$C$33,"",IF(C504&lt;70,PARAMETROS!$C$40,IF(C504&lt;75,PARAMETROS!$C$41,IF(C504&lt;80,PARAMETROS!$C$42,IF(C504&lt;85,PARAMETROS!$C$43,IF(C504&lt;90,PARAMETROS!$C$44,PARAMETROS!$C$45))))))</f>
        <v/>
      </c>
      <c r="N504" s="20" t="str">
        <f aca="false">IF($A504&gt;PARAMETROS!$C$33,"",K504+L504)</f>
        <v/>
      </c>
      <c r="O504" s="20" t="str">
        <f aca="false">IF($A504&gt;PARAMETROS!$C$33,"",I504+J504-N504)</f>
        <v/>
      </c>
      <c r="P504" s="20" t="str">
        <f aca="false">IF($A504&gt;PARAMETROS!$C$33,"",MAX(E504+I504+J504-N504,0))</f>
        <v/>
      </c>
      <c r="Q504" s="22" t="str">
        <f aca="false">IF($A504&gt;PARAMETROS!$C$33,"",IF(P504&lt;=0,"AGOTADO","OK"))</f>
        <v/>
      </c>
    </row>
    <row r="505" customFormat="false" ht="15" hidden="false" customHeight="false" outlineLevel="0" collapsed="false">
      <c r="A505" s="19" t="n">
        <f aca="false">A504+1</f>
        <v>503</v>
      </c>
      <c r="B505" s="19" t="n">
        <f aca="false">IF($A505="","",ROUNDUP($A505/12,0))</f>
        <v>42</v>
      </c>
      <c r="C505" s="19" t="n">
        <f aca="false">IF($A505="","",PARAMETROS!$C$6+INT(($A505-1)/12))</f>
        <v>106</v>
      </c>
      <c r="D505" s="19" t="n">
        <f aca="false">IF($A505="","",MOD($A505-1,12)+1)</f>
        <v>11</v>
      </c>
      <c r="E505" s="20" t="str">
        <f aca="false">IF($A505&gt;PARAMETROS!$C$33,"",P504)</f>
        <v/>
      </c>
      <c r="F505" s="21" t="str">
        <f aca="false">IF($A505&gt;PARAMETROS!$C$33,"",PARAMETROS!$C$38)</f>
        <v/>
      </c>
      <c r="G505" s="20" t="str">
        <f aca="false">IF($A505&gt;PARAMETROS!$C$33,"",E505*F505)</f>
        <v/>
      </c>
      <c r="H505" s="20" t="str">
        <f aca="false">IF($A505&gt;PARAMETROS!$C$33,"",E505*PARAMETROS!$C$39)</f>
        <v/>
      </c>
      <c r="I505" s="20" t="str">
        <f aca="false">IF($A505&gt;PARAMETROS!$C$33,"",G505-H505)</f>
        <v/>
      </c>
      <c r="J505" s="20" t="str">
        <f aca="false">IF($A505&gt;PARAMETROS!$C$33,"",PARAMETROS!$C$9*(1+PARAMETROS!$C$17)^(B505-1))</f>
        <v/>
      </c>
      <c r="K505" s="20" t="str">
        <f aca="false">IF($A505&gt;PARAMETROS!$C$33,"",K504*(1+PARAMETROS!$C$36))</f>
        <v/>
      </c>
      <c r="L505" s="20" t="str">
        <f aca="false">IF($A505&gt;PARAMETROS!$C$33,"",L504*(1+PARAMETROS!$C$37)*(1+M505))</f>
        <v/>
      </c>
      <c r="M505" s="21" t="str">
        <f aca="false">IF($A505&gt;PARAMETROS!$C$33,"",IF(C505&lt;70,PARAMETROS!$C$40,IF(C505&lt;75,PARAMETROS!$C$41,IF(C505&lt;80,PARAMETROS!$C$42,IF(C505&lt;85,PARAMETROS!$C$43,IF(C505&lt;90,PARAMETROS!$C$44,PARAMETROS!$C$45))))))</f>
        <v/>
      </c>
      <c r="N505" s="20" t="str">
        <f aca="false">IF($A505&gt;PARAMETROS!$C$33,"",K505+L505)</f>
        <v/>
      </c>
      <c r="O505" s="20" t="str">
        <f aca="false">IF($A505&gt;PARAMETROS!$C$33,"",I505+J505-N505)</f>
        <v/>
      </c>
      <c r="P505" s="20" t="str">
        <f aca="false">IF($A505&gt;PARAMETROS!$C$33,"",MAX(E505+I505+J505-N505,0))</f>
        <v/>
      </c>
      <c r="Q505" s="22" t="str">
        <f aca="false">IF($A505&gt;PARAMETROS!$C$33,"",IF(P505&lt;=0,"AGOTADO","OK"))</f>
        <v/>
      </c>
    </row>
    <row r="506" customFormat="false" ht="15" hidden="false" customHeight="false" outlineLevel="0" collapsed="false">
      <c r="A506" s="19" t="n">
        <f aca="false">A505+1</f>
        <v>504</v>
      </c>
      <c r="B506" s="19" t="n">
        <f aca="false">IF($A506="","",ROUNDUP($A506/12,0))</f>
        <v>42</v>
      </c>
      <c r="C506" s="19" t="n">
        <f aca="false">IF($A506="","",PARAMETROS!$C$6+INT(($A506-1)/12))</f>
        <v>106</v>
      </c>
      <c r="D506" s="19" t="n">
        <f aca="false">IF($A506="","",MOD($A506-1,12)+1)</f>
        <v>12</v>
      </c>
      <c r="E506" s="20" t="str">
        <f aca="false">IF($A506&gt;PARAMETROS!$C$33,"",P505)</f>
        <v/>
      </c>
      <c r="F506" s="21" t="str">
        <f aca="false">IF($A506&gt;PARAMETROS!$C$33,"",PARAMETROS!$C$38)</f>
        <v/>
      </c>
      <c r="G506" s="20" t="str">
        <f aca="false">IF($A506&gt;PARAMETROS!$C$33,"",E506*F506)</f>
        <v/>
      </c>
      <c r="H506" s="20" t="str">
        <f aca="false">IF($A506&gt;PARAMETROS!$C$33,"",E506*PARAMETROS!$C$39)</f>
        <v/>
      </c>
      <c r="I506" s="20" t="str">
        <f aca="false">IF($A506&gt;PARAMETROS!$C$33,"",G506-H506)</f>
        <v/>
      </c>
      <c r="J506" s="20" t="str">
        <f aca="false">IF($A506&gt;PARAMETROS!$C$33,"",PARAMETROS!$C$9*(1+PARAMETROS!$C$17)^(B506-1))</f>
        <v/>
      </c>
      <c r="K506" s="20" t="str">
        <f aca="false">IF($A506&gt;PARAMETROS!$C$33,"",K505*(1+PARAMETROS!$C$36))</f>
        <v/>
      </c>
      <c r="L506" s="20" t="str">
        <f aca="false">IF($A506&gt;PARAMETROS!$C$33,"",L505*(1+PARAMETROS!$C$37)*(1+M506))</f>
        <v/>
      </c>
      <c r="M506" s="21" t="str">
        <f aca="false">IF($A506&gt;PARAMETROS!$C$33,"",IF(C506&lt;70,PARAMETROS!$C$40,IF(C506&lt;75,PARAMETROS!$C$41,IF(C506&lt;80,PARAMETROS!$C$42,IF(C506&lt;85,PARAMETROS!$C$43,IF(C506&lt;90,PARAMETROS!$C$44,PARAMETROS!$C$45))))))</f>
        <v/>
      </c>
      <c r="N506" s="20" t="str">
        <f aca="false">IF($A506&gt;PARAMETROS!$C$33,"",K506+L506)</f>
        <v/>
      </c>
      <c r="O506" s="20" t="str">
        <f aca="false">IF($A506&gt;PARAMETROS!$C$33,"",I506+J506-N506)</f>
        <v/>
      </c>
      <c r="P506" s="20" t="str">
        <f aca="false">IF($A506&gt;PARAMETROS!$C$33,"",MAX(E506+I506+J506-N506,0))</f>
        <v/>
      </c>
      <c r="Q506" s="22" t="str">
        <f aca="false">IF($A506&gt;PARAMETROS!$C$33,"",IF(P506&lt;=0,"AGOTADO","OK"))</f>
        <v/>
      </c>
    </row>
    <row r="507" customFormat="false" ht="15" hidden="false" customHeight="false" outlineLevel="0" collapsed="false">
      <c r="A507" s="15" t="n">
        <f aca="false">A506+1</f>
        <v>505</v>
      </c>
      <c r="B507" s="15" t="n">
        <f aca="false">IF($A507="","",ROUNDUP($A507/12,0))</f>
        <v>43</v>
      </c>
      <c r="C507" s="15" t="n">
        <f aca="false">IF($A507="","",PARAMETROS!$C$6+INT(($A507-1)/12))</f>
        <v>107</v>
      </c>
      <c r="D507" s="15" t="n">
        <f aca="false">IF($A507="","",MOD($A507-1,12)+1)</f>
        <v>1</v>
      </c>
      <c r="E507" s="16" t="str">
        <f aca="false">IF($A507&gt;PARAMETROS!$C$33,"",P506)</f>
        <v/>
      </c>
      <c r="F507" s="17" t="str">
        <f aca="false">IF($A507&gt;PARAMETROS!$C$33,"",PARAMETROS!$C$38)</f>
        <v/>
      </c>
      <c r="G507" s="16" t="str">
        <f aca="false">IF($A507&gt;PARAMETROS!$C$33,"",E507*F507)</f>
        <v/>
      </c>
      <c r="H507" s="16" t="str">
        <f aca="false">IF($A507&gt;PARAMETROS!$C$33,"",E507*PARAMETROS!$C$39)</f>
        <v/>
      </c>
      <c r="I507" s="16" t="str">
        <f aca="false">IF($A507&gt;PARAMETROS!$C$33,"",G507-H507)</f>
        <v/>
      </c>
      <c r="J507" s="16" t="str">
        <f aca="false">IF($A507&gt;PARAMETROS!$C$33,"",PARAMETROS!$C$9*(1+PARAMETROS!$C$17)^(B507-1))</f>
        <v/>
      </c>
      <c r="K507" s="16" t="str">
        <f aca="false">IF($A507&gt;PARAMETROS!$C$33,"",K506*(1+PARAMETROS!$C$36))</f>
        <v/>
      </c>
      <c r="L507" s="16" t="str">
        <f aca="false">IF($A507&gt;PARAMETROS!$C$33,"",L506*(1+PARAMETROS!$C$37)*(1+M507))</f>
        <v/>
      </c>
      <c r="M507" s="17" t="str">
        <f aca="false">IF($A507&gt;PARAMETROS!$C$33,"",IF(C507&lt;70,PARAMETROS!$C$40,IF(C507&lt;75,PARAMETROS!$C$41,IF(C507&lt;80,PARAMETROS!$C$42,IF(C507&lt;85,PARAMETROS!$C$43,IF(C507&lt;90,PARAMETROS!$C$44,PARAMETROS!$C$45))))))</f>
        <v/>
      </c>
      <c r="N507" s="16" t="str">
        <f aca="false">IF($A507&gt;PARAMETROS!$C$33,"",K507+L507)</f>
        <v/>
      </c>
      <c r="O507" s="16" t="str">
        <f aca="false">IF($A507&gt;PARAMETROS!$C$33,"",I507+J507-N507)</f>
        <v/>
      </c>
      <c r="P507" s="16" t="str">
        <f aca="false">IF($A507&gt;PARAMETROS!$C$33,"",MAX(E507+I507+J507-N507,0))</f>
        <v/>
      </c>
      <c r="Q507" s="18" t="str">
        <f aca="false">IF($A507&gt;PARAMETROS!$C$33,"",IF(P507&lt;=0,"AGOTADO","OK"))</f>
        <v/>
      </c>
    </row>
    <row r="508" customFormat="false" ht="15" hidden="false" customHeight="false" outlineLevel="0" collapsed="false">
      <c r="A508" s="15" t="n">
        <f aca="false">A507+1</f>
        <v>506</v>
      </c>
      <c r="B508" s="15" t="n">
        <f aca="false">IF($A508="","",ROUNDUP($A508/12,0))</f>
        <v>43</v>
      </c>
      <c r="C508" s="15" t="n">
        <f aca="false">IF($A508="","",PARAMETROS!$C$6+INT(($A508-1)/12))</f>
        <v>107</v>
      </c>
      <c r="D508" s="15" t="n">
        <f aca="false">IF($A508="","",MOD($A508-1,12)+1)</f>
        <v>2</v>
      </c>
      <c r="E508" s="16" t="str">
        <f aca="false">IF($A508&gt;PARAMETROS!$C$33,"",P507)</f>
        <v/>
      </c>
      <c r="F508" s="17" t="str">
        <f aca="false">IF($A508&gt;PARAMETROS!$C$33,"",PARAMETROS!$C$38)</f>
        <v/>
      </c>
      <c r="G508" s="16" t="str">
        <f aca="false">IF($A508&gt;PARAMETROS!$C$33,"",E508*F508)</f>
        <v/>
      </c>
      <c r="H508" s="16" t="str">
        <f aca="false">IF($A508&gt;PARAMETROS!$C$33,"",E508*PARAMETROS!$C$39)</f>
        <v/>
      </c>
      <c r="I508" s="16" t="str">
        <f aca="false">IF($A508&gt;PARAMETROS!$C$33,"",G508-H508)</f>
        <v/>
      </c>
      <c r="J508" s="16" t="str">
        <f aca="false">IF($A508&gt;PARAMETROS!$C$33,"",PARAMETROS!$C$9*(1+PARAMETROS!$C$17)^(B508-1))</f>
        <v/>
      </c>
      <c r="K508" s="16" t="str">
        <f aca="false">IF($A508&gt;PARAMETROS!$C$33,"",K507*(1+PARAMETROS!$C$36))</f>
        <v/>
      </c>
      <c r="L508" s="16" t="str">
        <f aca="false">IF($A508&gt;PARAMETROS!$C$33,"",L507*(1+PARAMETROS!$C$37)*(1+M508))</f>
        <v/>
      </c>
      <c r="M508" s="17" t="str">
        <f aca="false">IF($A508&gt;PARAMETROS!$C$33,"",IF(C508&lt;70,PARAMETROS!$C$40,IF(C508&lt;75,PARAMETROS!$C$41,IF(C508&lt;80,PARAMETROS!$C$42,IF(C508&lt;85,PARAMETROS!$C$43,IF(C508&lt;90,PARAMETROS!$C$44,PARAMETROS!$C$45))))))</f>
        <v/>
      </c>
      <c r="N508" s="16" t="str">
        <f aca="false">IF($A508&gt;PARAMETROS!$C$33,"",K508+L508)</f>
        <v/>
      </c>
      <c r="O508" s="16" t="str">
        <f aca="false">IF($A508&gt;PARAMETROS!$C$33,"",I508+J508-N508)</f>
        <v/>
      </c>
      <c r="P508" s="16" t="str">
        <f aca="false">IF($A508&gt;PARAMETROS!$C$33,"",MAX(E508+I508+J508-N508,0))</f>
        <v/>
      </c>
      <c r="Q508" s="18" t="str">
        <f aca="false">IF($A508&gt;PARAMETROS!$C$33,"",IF(P508&lt;=0,"AGOTADO","OK"))</f>
        <v/>
      </c>
    </row>
    <row r="509" customFormat="false" ht="15" hidden="false" customHeight="false" outlineLevel="0" collapsed="false">
      <c r="A509" s="15" t="n">
        <f aca="false">A508+1</f>
        <v>507</v>
      </c>
      <c r="B509" s="15" t="n">
        <f aca="false">IF($A509="","",ROUNDUP($A509/12,0))</f>
        <v>43</v>
      </c>
      <c r="C509" s="15" t="n">
        <f aca="false">IF($A509="","",PARAMETROS!$C$6+INT(($A509-1)/12))</f>
        <v>107</v>
      </c>
      <c r="D509" s="15" t="n">
        <f aca="false">IF($A509="","",MOD($A509-1,12)+1)</f>
        <v>3</v>
      </c>
      <c r="E509" s="16" t="str">
        <f aca="false">IF($A509&gt;PARAMETROS!$C$33,"",P508)</f>
        <v/>
      </c>
      <c r="F509" s="17" t="str">
        <f aca="false">IF($A509&gt;PARAMETROS!$C$33,"",PARAMETROS!$C$38)</f>
        <v/>
      </c>
      <c r="G509" s="16" t="str">
        <f aca="false">IF($A509&gt;PARAMETROS!$C$33,"",E509*F509)</f>
        <v/>
      </c>
      <c r="H509" s="16" t="str">
        <f aca="false">IF($A509&gt;PARAMETROS!$C$33,"",E509*PARAMETROS!$C$39)</f>
        <v/>
      </c>
      <c r="I509" s="16" t="str">
        <f aca="false">IF($A509&gt;PARAMETROS!$C$33,"",G509-H509)</f>
        <v/>
      </c>
      <c r="J509" s="16" t="str">
        <f aca="false">IF($A509&gt;PARAMETROS!$C$33,"",PARAMETROS!$C$9*(1+PARAMETROS!$C$17)^(B509-1))</f>
        <v/>
      </c>
      <c r="K509" s="16" t="str">
        <f aca="false">IF($A509&gt;PARAMETROS!$C$33,"",K508*(1+PARAMETROS!$C$36))</f>
        <v/>
      </c>
      <c r="L509" s="16" t="str">
        <f aca="false">IF($A509&gt;PARAMETROS!$C$33,"",L508*(1+PARAMETROS!$C$37)*(1+M509))</f>
        <v/>
      </c>
      <c r="M509" s="17" t="str">
        <f aca="false">IF($A509&gt;PARAMETROS!$C$33,"",IF(C509&lt;70,PARAMETROS!$C$40,IF(C509&lt;75,PARAMETROS!$C$41,IF(C509&lt;80,PARAMETROS!$C$42,IF(C509&lt;85,PARAMETROS!$C$43,IF(C509&lt;90,PARAMETROS!$C$44,PARAMETROS!$C$45))))))</f>
        <v/>
      </c>
      <c r="N509" s="16" t="str">
        <f aca="false">IF($A509&gt;PARAMETROS!$C$33,"",K509+L509)</f>
        <v/>
      </c>
      <c r="O509" s="16" t="str">
        <f aca="false">IF($A509&gt;PARAMETROS!$C$33,"",I509+J509-N509)</f>
        <v/>
      </c>
      <c r="P509" s="16" t="str">
        <f aca="false">IF($A509&gt;PARAMETROS!$C$33,"",MAX(E509+I509+J509-N509,0))</f>
        <v/>
      </c>
      <c r="Q509" s="18" t="str">
        <f aca="false">IF($A509&gt;PARAMETROS!$C$33,"",IF(P509&lt;=0,"AGOTADO","OK"))</f>
        <v/>
      </c>
    </row>
    <row r="510" customFormat="false" ht="15" hidden="false" customHeight="false" outlineLevel="0" collapsed="false">
      <c r="A510" s="15" t="n">
        <f aca="false">A509+1</f>
        <v>508</v>
      </c>
      <c r="B510" s="15" t="n">
        <f aca="false">IF($A510="","",ROUNDUP($A510/12,0))</f>
        <v>43</v>
      </c>
      <c r="C510" s="15" t="n">
        <f aca="false">IF($A510="","",PARAMETROS!$C$6+INT(($A510-1)/12))</f>
        <v>107</v>
      </c>
      <c r="D510" s="15" t="n">
        <f aca="false">IF($A510="","",MOD($A510-1,12)+1)</f>
        <v>4</v>
      </c>
      <c r="E510" s="16" t="str">
        <f aca="false">IF($A510&gt;PARAMETROS!$C$33,"",P509)</f>
        <v/>
      </c>
      <c r="F510" s="17" t="str">
        <f aca="false">IF($A510&gt;PARAMETROS!$C$33,"",PARAMETROS!$C$38)</f>
        <v/>
      </c>
      <c r="G510" s="16" t="str">
        <f aca="false">IF($A510&gt;PARAMETROS!$C$33,"",E510*F510)</f>
        <v/>
      </c>
      <c r="H510" s="16" t="str">
        <f aca="false">IF($A510&gt;PARAMETROS!$C$33,"",E510*PARAMETROS!$C$39)</f>
        <v/>
      </c>
      <c r="I510" s="16" t="str">
        <f aca="false">IF($A510&gt;PARAMETROS!$C$33,"",G510-H510)</f>
        <v/>
      </c>
      <c r="J510" s="16" t="str">
        <f aca="false">IF($A510&gt;PARAMETROS!$C$33,"",PARAMETROS!$C$9*(1+PARAMETROS!$C$17)^(B510-1))</f>
        <v/>
      </c>
      <c r="K510" s="16" t="str">
        <f aca="false">IF($A510&gt;PARAMETROS!$C$33,"",K509*(1+PARAMETROS!$C$36))</f>
        <v/>
      </c>
      <c r="L510" s="16" t="str">
        <f aca="false">IF($A510&gt;PARAMETROS!$C$33,"",L509*(1+PARAMETROS!$C$37)*(1+M510))</f>
        <v/>
      </c>
      <c r="M510" s="17" t="str">
        <f aca="false">IF($A510&gt;PARAMETROS!$C$33,"",IF(C510&lt;70,PARAMETROS!$C$40,IF(C510&lt;75,PARAMETROS!$C$41,IF(C510&lt;80,PARAMETROS!$C$42,IF(C510&lt;85,PARAMETROS!$C$43,IF(C510&lt;90,PARAMETROS!$C$44,PARAMETROS!$C$45))))))</f>
        <v/>
      </c>
      <c r="N510" s="16" t="str">
        <f aca="false">IF($A510&gt;PARAMETROS!$C$33,"",K510+L510)</f>
        <v/>
      </c>
      <c r="O510" s="16" t="str">
        <f aca="false">IF($A510&gt;PARAMETROS!$C$33,"",I510+J510-N510)</f>
        <v/>
      </c>
      <c r="P510" s="16" t="str">
        <f aca="false">IF($A510&gt;PARAMETROS!$C$33,"",MAX(E510+I510+J510-N510,0))</f>
        <v/>
      </c>
      <c r="Q510" s="18" t="str">
        <f aca="false">IF($A510&gt;PARAMETROS!$C$33,"",IF(P510&lt;=0,"AGOTADO","OK"))</f>
        <v/>
      </c>
    </row>
    <row r="511" customFormat="false" ht="15" hidden="false" customHeight="false" outlineLevel="0" collapsed="false">
      <c r="A511" s="15" t="n">
        <f aca="false">A510+1</f>
        <v>509</v>
      </c>
      <c r="B511" s="15" t="n">
        <f aca="false">IF($A511="","",ROUNDUP($A511/12,0))</f>
        <v>43</v>
      </c>
      <c r="C511" s="15" t="n">
        <f aca="false">IF($A511="","",PARAMETROS!$C$6+INT(($A511-1)/12))</f>
        <v>107</v>
      </c>
      <c r="D511" s="15" t="n">
        <f aca="false">IF($A511="","",MOD($A511-1,12)+1)</f>
        <v>5</v>
      </c>
      <c r="E511" s="16" t="str">
        <f aca="false">IF($A511&gt;PARAMETROS!$C$33,"",P510)</f>
        <v/>
      </c>
      <c r="F511" s="17" t="str">
        <f aca="false">IF($A511&gt;PARAMETROS!$C$33,"",PARAMETROS!$C$38)</f>
        <v/>
      </c>
      <c r="G511" s="16" t="str">
        <f aca="false">IF($A511&gt;PARAMETROS!$C$33,"",E511*F511)</f>
        <v/>
      </c>
      <c r="H511" s="16" t="str">
        <f aca="false">IF($A511&gt;PARAMETROS!$C$33,"",E511*PARAMETROS!$C$39)</f>
        <v/>
      </c>
      <c r="I511" s="16" t="str">
        <f aca="false">IF($A511&gt;PARAMETROS!$C$33,"",G511-H511)</f>
        <v/>
      </c>
      <c r="J511" s="16" t="str">
        <f aca="false">IF($A511&gt;PARAMETROS!$C$33,"",PARAMETROS!$C$9*(1+PARAMETROS!$C$17)^(B511-1))</f>
        <v/>
      </c>
      <c r="K511" s="16" t="str">
        <f aca="false">IF($A511&gt;PARAMETROS!$C$33,"",K510*(1+PARAMETROS!$C$36))</f>
        <v/>
      </c>
      <c r="L511" s="16" t="str">
        <f aca="false">IF($A511&gt;PARAMETROS!$C$33,"",L510*(1+PARAMETROS!$C$37)*(1+M511))</f>
        <v/>
      </c>
      <c r="M511" s="17" t="str">
        <f aca="false">IF($A511&gt;PARAMETROS!$C$33,"",IF(C511&lt;70,PARAMETROS!$C$40,IF(C511&lt;75,PARAMETROS!$C$41,IF(C511&lt;80,PARAMETROS!$C$42,IF(C511&lt;85,PARAMETROS!$C$43,IF(C511&lt;90,PARAMETROS!$C$44,PARAMETROS!$C$45))))))</f>
        <v/>
      </c>
      <c r="N511" s="16" t="str">
        <f aca="false">IF($A511&gt;PARAMETROS!$C$33,"",K511+L511)</f>
        <v/>
      </c>
      <c r="O511" s="16" t="str">
        <f aca="false">IF($A511&gt;PARAMETROS!$C$33,"",I511+J511-N511)</f>
        <v/>
      </c>
      <c r="P511" s="16" t="str">
        <f aca="false">IF($A511&gt;PARAMETROS!$C$33,"",MAX(E511+I511+J511-N511,0))</f>
        <v/>
      </c>
      <c r="Q511" s="18" t="str">
        <f aca="false">IF($A511&gt;PARAMETROS!$C$33,"",IF(P511&lt;=0,"AGOTADO","OK"))</f>
        <v/>
      </c>
    </row>
    <row r="512" customFormat="false" ht="15" hidden="false" customHeight="false" outlineLevel="0" collapsed="false">
      <c r="A512" s="15" t="n">
        <f aca="false">A511+1</f>
        <v>510</v>
      </c>
      <c r="B512" s="15" t="n">
        <f aca="false">IF($A512="","",ROUNDUP($A512/12,0))</f>
        <v>43</v>
      </c>
      <c r="C512" s="15" t="n">
        <f aca="false">IF($A512="","",PARAMETROS!$C$6+INT(($A512-1)/12))</f>
        <v>107</v>
      </c>
      <c r="D512" s="15" t="n">
        <f aca="false">IF($A512="","",MOD($A512-1,12)+1)</f>
        <v>6</v>
      </c>
      <c r="E512" s="16" t="str">
        <f aca="false">IF($A512&gt;PARAMETROS!$C$33,"",P511)</f>
        <v/>
      </c>
      <c r="F512" s="17" t="str">
        <f aca="false">IF($A512&gt;PARAMETROS!$C$33,"",PARAMETROS!$C$38)</f>
        <v/>
      </c>
      <c r="G512" s="16" t="str">
        <f aca="false">IF($A512&gt;PARAMETROS!$C$33,"",E512*F512)</f>
        <v/>
      </c>
      <c r="H512" s="16" t="str">
        <f aca="false">IF($A512&gt;PARAMETROS!$C$33,"",E512*PARAMETROS!$C$39)</f>
        <v/>
      </c>
      <c r="I512" s="16" t="str">
        <f aca="false">IF($A512&gt;PARAMETROS!$C$33,"",G512-H512)</f>
        <v/>
      </c>
      <c r="J512" s="16" t="str">
        <f aca="false">IF($A512&gt;PARAMETROS!$C$33,"",PARAMETROS!$C$9*(1+PARAMETROS!$C$17)^(B512-1))</f>
        <v/>
      </c>
      <c r="K512" s="16" t="str">
        <f aca="false">IF($A512&gt;PARAMETROS!$C$33,"",K511*(1+PARAMETROS!$C$36))</f>
        <v/>
      </c>
      <c r="L512" s="16" t="str">
        <f aca="false">IF($A512&gt;PARAMETROS!$C$33,"",L511*(1+PARAMETROS!$C$37)*(1+M512))</f>
        <v/>
      </c>
      <c r="M512" s="17" t="str">
        <f aca="false">IF($A512&gt;PARAMETROS!$C$33,"",IF(C512&lt;70,PARAMETROS!$C$40,IF(C512&lt;75,PARAMETROS!$C$41,IF(C512&lt;80,PARAMETROS!$C$42,IF(C512&lt;85,PARAMETROS!$C$43,IF(C512&lt;90,PARAMETROS!$C$44,PARAMETROS!$C$45))))))</f>
        <v/>
      </c>
      <c r="N512" s="16" t="str">
        <f aca="false">IF($A512&gt;PARAMETROS!$C$33,"",K512+L512)</f>
        <v/>
      </c>
      <c r="O512" s="16" t="str">
        <f aca="false">IF($A512&gt;PARAMETROS!$C$33,"",I512+J512-N512)</f>
        <v/>
      </c>
      <c r="P512" s="16" t="str">
        <f aca="false">IF($A512&gt;PARAMETROS!$C$33,"",MAX(E512+I512+J512-N512,0))</f>
        <v/>
      </c>
      <c r="Q512" s="18" t="str">
        <f aca="false">IF($A512&gt;PARAMETROS!$C$33,"",IF(P512&lt;=0,"AGOTADO","OK"))</f>
        <v/>
      </c>
    </row>
    <row r="513" customFormat="false" ht="15" hidden="false" customHeight="false" outlineLevel="0" collapsed="false">
      <c r="A513" s="15" t="n">
        <f aca="false">A512+1</f>
        <v>511</v>
      </c>
      <c r="B513" s="15" t="n">
        <f aca="false">IF($A513="","",ROUNDUP($A513/12,0))</f>
        <v>43</v>
      </c>
      <c r="C513" s="15" t="n">
        <f aca="false">IF($A513="","",PARAMETROS!$C$6+INT(($A513-1)/12))</f>
        <v>107</v>
      </c>
      <c r="D513" s="15" t="n">
        <f aca="false">IF($A513="","",MOD($A513-1,12)+1)</f>
        <v>7</v>
      </c>
      <c r="E513" s="16" t="str">
        <f aca="false">IF($A513&gt;PARAMETROS!$C$33,"",P512)</f>
        <v/>
      </c>
      <c r="F513" s="17" t="str">
        <f aca="false">IF($A513&gt;PARAMETROS!$C$33,"",PARAMETROS!$C$38)</f>
        <v/>
      </c>
      <c r="G513" s="16" t="str">
        <f aca="false">IF($A513&gt;PARAMETROS!$C$33,"",E513*F513)</f>
        <v/>
      </c>
      <c r="H513" s="16" t="str">
        <f aca="false">IF($A513&gt;PARAMETROS!$C$33,"",E513*PARAMETROS!$C$39)</f>
        <v/>
      </c>
      <c r="I513" s="16" t="str">
        <f aca="false">IF($A513&gt;PARAMETROS!$C$33,"",G513-H513)</f>
        <v/>
      </c>
      <c r="J513" s="16" t="str">
        <f aca="false">IF($A513&gt;PARAMETROS!$C$33,"",PARAMETROS!$C$9*(1+PARAMETROS!$C$17)^(B513-1))</f>
        <v/>
      </c>
      <c r="K513" s="16" t="str">
        <f aca="false">IF($A513&gt;PARAMETROS!$C$33,"",K512*(1+PARAMETROS!$C$36))</f>
        <v/>
      </c>
      <c r="L513" s="16" t="str">
        <f aca="false">IF($A513&gt;PARAMETROS!$C$33,"",L512*(1+PARAMETROS!$C$37)*(1+M513))</f>
        <v/>
      </c>
      <c r="M513" s="17" t="str">
        <f aca="false">IF($A513&gt;PARAMETROS!$C$33,"",IF(C513&lt;70,PARAMETROS!$C$40,IF(C513&lt;75,PARAMETROS!$C$41,IF(C513&lt;80,PARAMETROS!$C$42,IF(C513&lt;85,PARAMETROS!$C$43,IF(C513&lt;90,PARAMETROS!$C$44,PARAMETROS!$C$45))))))</f>
        <v/>
      </c>
      <c r="N513" s="16" t="str">
        <f aca="false">IF($A513&gt;PARAMETROS!$C$33,"",K513+L513)</f>
        <v/>
      </c>
      <c r="O513" s="16" t="str">
        <f aca="false">IF($A513&gt;PARAMETROS!$C$33,"",I513+J513-N513)</f>
        <v/>
      </c>
      <c r="P513" s="16" t="str">
        <f aca="false">IF($A513&gt;PARAMETROS!$C$33,"",MAX(E513+I513+J513-N513,0))</f>
        <v/>
      </c>
      <c r="Q513" s="18" t="str">
        <f aca="false">IF($A513&gt;PARAMETROS!$C$33,"",IF(P513&lt;=0,"AGOTADO","OK"))</f>
        <v/>
      </c>
    </row>
    <row r="514" customFormat="false" ht="15" hidden="false" customHeight="false" outlineLevel="0" collapsed="false">
      <c r="A514" s="15" t="n">
        <f aca="false">A513+1</f>
        <v>512</v>
      </c>
      <c r="B514" s="15" t="n">
        <f aca="false">IF($A514="","",ROUNDUP($A514/12,0))</f>
        <v>43</v>
      </c>
      <c r="C514" s="15" t="n">
        <f aca="false">IF($A514="","",PARAMETROS!$C$6+INT(($A514-1)/12))</f>
        <v>107</v>
      </c>
      <c r="D514" s="15" t="n">
        <f aca="false">IF($A514="","",MOD($A514-1,12)+1)</f>
        <v>8</v>
      </c>
      <c r="E514" s="16" t="str">
        <f aca="false">IF($A514&gt;PARAMETROS!$C$33,"",P513)</f>
        <v/>
      </c>
      <c r="F514" s="17" t="str">
        <f aca="false">IF($A514&gt;PARAMETROS!$C$33,"",PARAMETROS!$C$38)</f>
        <v/>
      </c>
      <c r="G514" s="16" t="str">
        <f aca="false">IF($A514&gt;PARAMETROS!$C$33,"",E514*F514)</f>
        <v/>
      </c>
      <c r="H514" s="16" t="str">
        <f aca="false">IF($A514&gt;PARAMETROS!$C$33,"",E514*PARAMETROS!$C$39)</f>
        <v/>
      </c>
      <c r="I514" s="16" t="str">
        <f aca="false">IF($A514&gt;PARAMETROS!$C$33,"",G514-H514)</f>
        <v/>
      </c>
      <c r="J514" s="16" t="str">
        <f aca="false">IF($A514&gt;PARAMETROS!$C$33,"",PARAMETROS!$C$9*(1+PARAMETROS!$C$17)^(B514-1))</f>
        <v/>
      </c>
      <c r="K514" s="16" t="str">
        <f aca="false">IF($A514&gt;PARAMETROS!$C$33,"",K513*(1+PARAMETROS!$C$36))</f>
        <v/>
      </c>
      <c r="L514" s="16" t="str">
        <f aca="false">IF($A514&gt;PARAMETROS!$C$33,"",L513*(1+PARAMETROS!$C$37)*(1+M514))</f>
        <v/>
      </c>
      <c r="M514" s="17" t="str">
        <f aca="false">IF($A514&gt;PARAMETROS!$C$33,"",IF(C514&lt;70,PARAMETROS!$C$40,IF(C514&lt;75,PARAMETROS!$C$41,IF(C514&lt;80,PARAMETROS!$C$42,IF(C514&lt;85,PARAMETROS!$C$43,IF(C514&lt;90,PARAMETROS!$C$44,PARAMETROS!$C$45))))))</f>
        <v/>
      </c>
      <c r="N514" s="16" t="str">
        <f aca="false">IF($A514&gt;PARAMETROS!$C$33,"",K514+L514)</f>
        <v/>
      </c>
      <c r="O514" s="16" t="str">
        <f aca="false">IF($A514&gt;PARAMETROS!$C$33,"",I514+J514-N514)</f>
        <v/>
      </c>
      <c r="P514" s="16" t="str">
        <f aca="false">IF($A514&gt;PARAMETROS!$C$33,"",MAX(E514+I514+J514-N514,0))</f>
        <v/>
      </c>
      <c r="Q514" s="18" t="str">
        <f aca="false">IF($A514&gt;PARAMETROS!$C$33,"",IF(P514&lt;=0,"AGOTADO","OK"))</f>
        <v/>
      </c>
    </row>
    <row r="515" customFormat="false" ht="15" hidden="false" customHeight="false" outlineLevel="0" collapsed="false">
      <c r="A515" s="15" t="n">
        <f aca="false">A514+1</f>
        <v>513</v>
      </c>
      <c r="B515" s="15" t="n">
        <f aca="false">IF($A515="","",ROUNDUP($A515/12,0))</f>
        <v>43</v>
      </c>
      <c r="C515" s="15" t="n">
        <f aca="false">IF($A515="","",PARAMETROS!$C$6+INT(($A515-1)/12))</f>
        <v>107</v>
      </c>
      <c r="D515" s="15" t="n">
        <f aca="false">IF($A515="","",MOD($A515-1,12)+1)</f>
        <v>9</v>
      </c>
      <c r="E515" s="16" t="str">
        <f aca="false">IF($A515&gt;PARAMETROS!$C$33,"",P514)</f>
        <v/>
      </c>
      <c r="F515" s="17" t="str">
        <f aca="false">IF($A515&gt;PARAMETROS!$C$33,"",PARAMETROS!$C$38)</f>
        <v/>
      </c>
      <c r="G515" s="16" t="str">
        <f aca="false">IF($A515&gt;PARAMETROS!$C$33,"",E515*F515)</f>
        <v/>
      </c>
      <c r="H515" s="16" t="str">
        <f aca="false">IF($A515&gt;PARAMETROS!$C$33,"",E515*PARAMETROS!$C$39)</f>
        <v/>
      </c>
      <c r="I515" s="16" t="str">
        <f aca="false">IF($A515&gt;PARAMETROS!$C$33,"",G515-H515)</f>
        <v/>
      </c>
      <c r="J515" s="16" t="str">
        <f aca="false">IF($A515&gt;PARAMETROS!$C$33,"",PARAMETROS!$C$9*(1+PARAMETROS!$C$17)^(B515-1))</f>
        <v/>
      </c>
      <c r="K515" s="16" t="str">
        <f aca="false">IF($A515&gt;PARAMETROS!$C$33,"",K514*(1+PARAMETROS!$C$36))</f>
        <v/>
      </c>
      <c r="L515" s="16" t="str">
        <f aca="false">IF($A515&gt;PARAMETROS!$C$33,"",L514*(1+PARAMETROS!$C$37)*(1+M515))</f>
        <v/>
      </c>
      <c r="M515" s="17" t="str">
        <f aca="false">IF($A515&gt;PARAMETROS!$C$33,"",IF(C515&lt;70,PARAMETROS!$C$40,IF(C515&lt;75,PARAMETROS!$C$41,IF(C515&lt;80,PARAMETROS!$C$42,IF(C515&lt;85,PARAMETROS!$C$43,IF(C515&lt;90,PARAMETROS!$C$44,PARAMETROS!$C$45))))))</f>
        <v/>
      </c>
      <c r="N515" s="16" t="str">
        <f aca="false">IF($A515&gt;PARAMETROS!$C$33,"",K515+L515)</f>
        <v/>
      </c>
      <c r="O515" s="16" t="str">
        <f aca="false">IF($A515&gt;PARAMETROS!$C$33,"",I515+J515-N515)</f>
        <v/>
      </c>
      <c r="P515" s="16" t="str">
        <f aca="false">IF($A515&gt;PARAMETROS!$C$33,"",MAX(E515+I515+J515-N515,0))</f>
        <v/>
      </c>
      <c r="Q515" s="18" t="str">
        <f aca="false">IF($A515&gt;PARAMETROS!$C$33,"",IF(P515&lt;=0,"AGOTADO","OK"))</f>
        <v/>
      </c>
    </row>
    <row r="516" customFormat="false" ht="15" hidden="false" customHeight="false" outlineLevel="0" collapsed="false">
      <c r="A516" s="15" t="n">
        <f aca="false">A515+1</f>
        <v>514</v>
      </c>
      <c r="B516" s="15" t="n">
        <f aca="false">IF($A516="","",ROUNDUP($A516/12,0))</f>
        <v>43</v>
      </c>
      <c r="C516" s="15" t="n">
        <f aca="false">IF($A516="","",PARAMETROS!$C$6+INT(($A516-1)/12))</f>
        <v>107</v>
      </c>
      <c r="D516" s="15" t="n">
        <f aca="false">IF($A516="","",MOD($A516-1,12)+1)</f>
        <v>10</v>
      </c>
      <c r="E516" s="16" t="str">
        <f aca="false">IF($A516&gt;PARAMETROS!$C$33,"",P515)</f>
        <v/>
      </c>
      <c r="F516" s="17" t="str">
        <f aca="false">IF($A516&gt;PARAMETROS!$C$33,"",PARAMETROS!$C$38)</f>
        <v/>
      </c>
      <c r="G516" s="16" t="str">
        <f aca="false">IF($A516&gt;PARAMETROS!$C$33,"",E516*F516)</f>
        <v/>
      </c>
      <c r="H516" s="16" t="str">
        <f aca="false">IF($A516&gt;PARAMETROS!$C$33,"",E516*PARAMETROS!$C$39)</f>
        <v/>
      </c>
      <c r="I516" s="16" t="str">
        <f aca="false">IF($A516&gt;PARAMETROS!$C$33,"",G516-H516)</f>
        <v/>
      </c>
      <c r="J516" s="16" t="str">
        <f aca="false">IF($A516&gt;PARAMETROS!$C$33,"",PARAMETROS!$C$9*(1+PARAMETROS!$C$17)^(B516-1))</f>
        <v/>
      </c>
      <c r="K516" s="16" t="str">
        <f aca="false">IF($A516&gt;PARAMETROS!$C$33,"",K515*(1+PARAMETROS!$C$36))</f>
        <v/>
      </c>
      <c r="L516" s="16" t="str">
        <f aca="false">IF($A516&gt;PARAMETROS!$C$33,"",L515*(1+PARAMETROS!$C$37)*(1+M516))</f>
        <v/>
      </c>
      <c r="M516" s="17" t="str">
        <f aca="false">IF($A516&gt;PARAMETROS!$C$33,"",IF(C516&lt;70,PARAMETROS!$C$40,IF(C516&lt;75,PARAMETROS!$C$41,IF(C516&lt;80,PARAMETROS!$C$42,IF(C516&lt;85,PARAMETROS!$C$43,IF(C516&lt;90,PARAMETROS!$C$44,PARAMETROS!$C$45))))))</f>
        <v/>
      </c>
      <c r="N516" s="16" t="str">
        <f aca="false">IF($A516&gt;PARAMETROS!$C$33,"",K516+L516)</f>
        <v/>
      </c>
      <c r="O516" s="16" t="str">
        <f aca="false">IF($A516&gt;PARAMETROS!$C$33,"",I516+J516-N516)</f>
        <v/>
      </c>
      <c r="P516" s="16" t="str">
        <f aca="false">IF($A516&gt;PARAMETROS!$C$33,"",MAX(E516+I516+J516-N516,0))</f>
        <v/>
      </c>
      <c r="Q516" s="18" t="str">
        <f aca="false">IF($A516&gt;PARAMETROS!$C$33,"",IF(P516&lt;=0,"AGOTADO","OK"))</f>
        <v/>
      </c>
    </row>
    <row r="517" customFormat="false" ht="15" hidden="false" customHeight="false" outlineLevel="0" collapsed="false">
      <c r="A517" s="15" t="n">
        <f aca="false">A516+1</f>
        <v>515</v>
      </c>
      <c r="B517" s="15" t="n">
        <f aca="false">IF($A517="","",ROUNDUP($A517/12,0))</f>
        <v>43</v>
      </c>
      <c r="C517" s="15" t="n">
        <f aca="false">IF($A517="","",PARAMETROS!$C$6+INT(($A517-1)/12))</f>
        <v>107</v>
      </c>
      <c r="D517" s="15" t="n">
        <f aca="false">IF($A517="","",MOD($A517-1,12)+1)</f>
        <v>11</v>
      </c>
      <c r="E517" s="16" t="str">
        <f aca="false">IF($A517&gt;PARAMETROS!$C$33,"",P516)</f>
        <v/>
      </c>
      <c r="F517" s="17" t="str">
        <f aca="false">IF($A517&gt;PARAMETROS!$C$33,"",PARAMETROS!$C$38)</f>
        <v/>
      </c>
      <c r="G517" s="16" t="str">
        <f aca="false">IF($A517&gt;PARAMETROS!$C$33,"",E517*F517)</f>
        <v/>
      </c>
      <c r="H517" s="16" t="str">
        <f aca="false">IF($A517&gt;PARAMETROS!$C$33,"",E517*PARAMETROS!$C$39)</f>
        <v/>
      </c>
      <c r="I517" s="16" t="str">
        <f aca="false">IF($A517&gt;PARAMETROS!$C$33,"",G517-H517)</f>
        <v/>
      </c>
      <c r="J517" s="16" t="str">
        <f aca="false">IF($A517&gt;PARAMETROS!$C$33,"",PARAMETROS!$C$9*(1+PARAMETROS!$C$17)^(B517-1))</f>
        <v/>
      </c>
      <c r="K517" s="16" t="str">
        <f aca="false">IF($A517&gt;PARAMETROS!$C$33,"",K516*(1+PARAMETROS!$C$36))</f>
        <v/>
      </c>
      <c r="L517" s="16" t="str">
        <f aca="false">IF($A517&gt;PARAMETROS!$C$33,"",L516*(1+PARAMETROS!$C$37)*(1+M517))</f>
        <v/>
      </c>
      <c r="M517" s="17" t="str">
        <f aca="false">IF($A517&gt;PARAMETROS!$C$33,"",IF(C517&lt;70,PARAMETROS!$C$40,IF(C517&lt;75,PARAMETROS!$C$41,IF(C517&lt;80,PARAMETROS!$C$42,IF(C517&lt;85,PARAMETROS!$C$43,IF(C517&lt;90,PARAMETROS!$C$44,PARAMETROS!$C$45))))))</f>
        <v/>
      </c>
      <c r="N517" s="16" t="str">
        <f aca="false">IF($A517&gt;PARAMETROS!$C$33,"",K517+L517)</f>
        <v/>
      </c>
      <c r="O517" s="16" t="str">
        <f aca="false">IF($A517&gt;PARAMETROS!$C$33,"",I517+J517-N517)</f>
        <v/>
      </c>
      <c r="P517" s="16" t="str">
        <f aca="false">IF($A517&gt;PARAMETROS!$C$33,"",MAX(E517+I517+J517-N517,0))</f>
        <v/>
      </c>
      <c r="Q517" s="18" t="str">
        <f aca="false">IF($A517&gt;PARAMETROS!$C$33,"",IF(P517&lt;=0,"AGOTADO","OK"))</f>
        <v/>
      </c>
    </row>
    <row r="518" customFormat="false" ht="15" hidden="false" customHeight="false" outlineLevel="0" collapsed="false">
      <c r="A518" s="15" t="n">
        <f aca="false">A517+1</f>
        <v>516</v>
      </c>
      <c r="B518" s="15" t="n">
        <f aca="false">IF($A518="","",ROUNDUP($A518/12,0))</f>
        <v>43</v>
      </c>
      <c r="C518" s="15" t="n">
        <f aca="false">IF($A518="","",PARAMETROS!$C$6+INT(($A518-1)/12))</f>
        <v>107</v>
      </c>
      <c r="D518" s="15" t="n">
        <f aca="false">IF($A518="","",MOD($A518-1,12)+1)</f>
        <v>12</v>
      </c>
      <c r="E518" s="16" t="str">
        <f aca="false">IF($A518&gt;PARAMETROS!$C$33,"",P517)</f>
        <v/>
      </c>
      <c r="F518" s="17" t="str">
        <f aca="false">IF($A518&gt;PARAMETROS!$C$33,"",PARAMETROS!$C$38)</f>
        <v/>
      </c>
      <c r="G518" s="16" t="str">
        <f aca="false">IF($A518&gt;PARAMETROS!$C$33,"",E518*F518)</f>
        <v/>
      </c>
      <c r="H518" s="16" t="str">
        <f aca="false">IF($A518&gt;PARAMETROS!$C$33,"",E518*PARAMETROS!$C$39)</f>
        <v/>
      </c>
      <c r="I518" s="16" t="str">
        <f aca="false">IF($A518&gt;PARAMETROS!$C$33,"",G518-H518)</f>
        <v/>
      </c>
      <c r="J518" s="16" t="str">
        <f aca="false">IF($A518&gt;PARAMETROS!$C$33,"",PARAMETROS!$C$9*(1+PARAMETROS!$C$17)^(B518-1))</f>
        <v/>
      </c>
      <c r="K518" s="16" t="str">
        <f aca="false">IF($A518&gt;PARAMETROS!$C$33,"",K517*(1+PARAMETROS!$C$36))</f>
        <v/>
      </c>
      <c r="L518" s="16" t="str">
        <f aca="false">IF($A518&gt;PARAMETROS!$C$33,"",L517*(1+PARAMETROS!$C$37)*(1+M518))</f>
        <v/>
      </c>
      <c r="M518" s="17" t="str">
        <f aca="false">IF($A518&gt;PARAMETROS!$C$33,"",IF(C518&lt;70,PARAMETROS!$C$40,IF(C518&lt;75,PARAMETROS!$C$41,IF(C518&lt;80,PARAMETROS!$C$42,IF(C518&lt;85,PARAMETROS!$C$43,IF(C518&lt;90,PARAMETROS!$C$44,PARAMETROS!$C$45))))))</f>
        <v/>
      </c>
      <c r="N518" s="16" t="str">
        <f aca="false">IF($A518&gt;PARAMETROS!$C$33,"",K518+L518)</f>
        <v/>
      </c>
      <c r="O518" s="16" t="str">
        <f aca="false">IF($A518&gt;PARAMETROS!$C$33,"",I518+J518-N518)</f>
        <v/>
      </c>
      <c r="P518" s="16" t="str">
        <f aca="false">IF($A518&gt;PARAMETROS!$C$33,"",MAX(E518+I518+J518-N518,0))</f>
        <v/>
      </c>
      <c r="Q518" s="18" t="str">
        <f aca="false">IF($A518&gt;PARAMETROS!$C$33,"",IF(P518&lt;=0,"AGOTADO","OK"))</f>
        <v/>
      </c>
    </row>
    <row r="519" customFormat="false" ht="15" hidden="false" customHeight="false" outlineLevel="0" collapsed="false">
      <c r="A519" s="19" t="n">
        <f aca="false">A518+1</f>
        <v>517</v>
      </c>
      <c r="B519" s="19" t="n">
        <f aca="false">IF($A519="","",ROUNDUP($A519/12,0))</f>
        <v>44</v>
      </c>
      <c r="C519" s="19" t="n">
        <f aca="false">IF($A519="","",PARAMETROS!$C$6+INT(($A519-1)/12))</f>
        <v>108</v>
      </c>
      <c r="D519" s="19" t="n">
        <f aca="false">IF($A519="","",MOD($A519-1,12)+1)</f>
        <v>1</v>
      </c>
      <c r="E519" s="20" t="str">
        <f aca="false">IF($A519&gt;PARAMETROS!$C$33,"",P518)</f>
        <v/>
      </c>
      <c r="F519" s="21" t="str">
        <f aca="false">IF($A519&gt;PARAMETROS!$C$33,"",PARAMETROS!$C$38)</f>
        <v/>
      </c>
      <c r="G519" s="20" t="str">
        <f aca="false">IF($A519&gt;PARAMETROS!$C$33,"",E519*F519)</f>
        <v/>
      </c>
      <c r="H519" s="20" t="str">
        <f aca="false">IF($A519&gt;PARAMETROS!$C$33,"",E519*PARAMETROS!$C$39)</f>
        <v/>
      </c>
      <c r="I519" s="20" t="str">
        <f aca="false">IF($A519&gt;PARAMETROS!$C$33,"",G519-H519)</f>
        <v/>
      </c>
      <c r="J519" s="20" t="str">
        <f aca="false">IF($A519&gt;PARAMETROS!$C$33,"",PARAMETROS!$C$9*(1+PARAMETROS!$C$17)^(B519-1))</f>
        <v/>
      </c>
      <c r="K519" s="20" t="str">
        <f aca="false">IF($A519&gt;PARAMETROS!$C$33,"",K518*(1+PARAMETROS!$C$36))</f>
        <v/>
      </c>
      <c r="L519" s="20" t="str">
        <f aca="false">IF($A519&gt;PARAMETROS!$C$33,"",L518*(1+PARAMETROS!$C$37)*(1+M519))</f>
        <v/>
      </c>
      <c r="M519" s="21" t="str">
        <f aca="false">IF($A519&gt;PARAMETROS!$C$33,"",IF(C519&lt;70,PARAMETROS!$C$40,IF(C519&lt;75,PARAMETROS!$C$41,IF(C519&lt;80,PARAMETROS!$C$42,IF(C519&lt;85,PARAMETROS!$C$43,IF(C519&lt;90,PARAMETROS!$C$44,PARAMETROS!$C$45))))))</f>
        <v/>
      </c>
      <c r="N519" s="20" t="str">
        <f aca="false">IF($A519&gt;PARAMETROS!$C$33,"",K519+L519)</f>
        <v/>
      </c>
      <c r="O519" s="20" t="str">
        <f aca="false">IF($A519&gt;PARAMETROS!$C$33,"",I519+J519-N519)</f>
        <v/>
      </c>
      <c r="P519" s="20" t="str">
        <f aca="false">IF($A519&gt;PARAMETROS!$C$33,"",MAX(E519+I519+J519-N519,0))</f>
        <v/>
      </c>
      <c r="Q519" s="22" t="str">
        <f aca="false">IF($A519&gt;PARAMETROS!$C$33,"",IF(P519&lt;=0,"AGOTADO","OK"))</f>
        <v/>
      </c>
    </row>
    <row r="520" customFormat="false" ht="15" hidden="false" customHeight="false" outlineLevel="0" collapsed="false">
      <c r="A520" s="19" t="n">
        <f aca="false">A519+1</f>
        <v>518</v>
      </c>
      <c r="B520" s="19" t="n">
        <f aca="false">IF($A520="","",ROUNDUP($A520/12,0))</f>
        <v>44</v>
      </c>
      <c r="C520" s="19" t="n">
        <f aca="false">IF($A520="","",PARAMETROS!$C$6+INT(($A520-1)/12))</f>
        <v>108</v>
      </c>
      <c r="D520" s="19" t="n">
        <f aca="false">IF($A520="","",MOD($A520-1,12)+1)</f>
        <v>2</v>
      </c>
      <c r="E520" s="20" t="str">
        <f aca="false">IF($A520&gt;PARAMETROS!$C$33,"",P519)</f>
        <v/>
      </c>
      <c r="F520" s="21" t="str">
        <f aca="false">IF($A520&gt;PARAMETROS!$C$33,"",PARAMETROS!$C$38)</f>
        <v/>
      </c>
      <c r="G520" s="20" t="str">
        <f aca="false">IF($A520&gt;PARAMETROS!$C$33,"",E520*F520)</f>
        <v/>
      </c>
      <c r="H520" s="20" t="str">
        <f aca="false">IF($A520&gt;PARAMETROS!$C$33,"",E520*PARAMETROS!$C$39)</f>
        <v/>
      </c>
      <c r="I520" s="20" t="str">
        <f aca="false">IF($A520&gt;PARAMETROS!$C$33,"",G520-H520)</f>
        <v/>
      </c>
      <c r="J520" s="20" t="str">
        <f aca="false">IF($A520&gt;PARAMETROS!$C$33,"",PARAMETROS!$C$9*(1+PARAMETROS!$C$17)^(B520-1))</f>
        <v/>
      </c>
      <c r="K520" s="20" t="str">
        <f aca="false">IF($A520&gt;PARAMETROS!$C$33,"",K519*(1+PARAMETROS!$C$36))</f>
        <v/>
      </c>
      <c r="L520" s="20" t="str">
        <f aca="false">IF($A520&gt;PARAMETROS!$C$33,"",L519*(1+PARAMETROS!$C$37)*(1+M520))</f>
        <v/>
      </c>
      <c r="M520" s="21" t="str">
        <f aca="false">IF($A520&gt;PARAMETROS!$C$33,"",IF(C520&lt;70,PARAMETROS!$C$40,IF(C520&lt;75,PARAMETROS!$C$41,IF(C520&lt;80,PARAMETROS!$C$42,IF(C520&lt;85,PARAMETROS!$C$43,IF(C520&lt;90,PARAMETROS!$C$44,PARAMETROS!$C$45))))))</f>
        <v/>
      </c>
      <c r="N520" s="20" t="str">
        <f aca="false">IF($A520&gt;PARAMETROS!$C$33,"",K520+L520)</f>
        <v/>
      </c>
      <c r="O520" s="20" t="str">
        <f aca="false">IF($A520&gt;PARAMETROS!$C$33,"",I520+J520-N520)</f>
        <v/>
      </c>
      <c r="P520" s="20" t="str">
        <f aca="false">IF($A520&gt;PARAMETROS!$C$33,"",MAX(E520+I520+J520-N520,0))</f>
        <v/>
      </c>
      <c r="Q520" s="22" t="str">
        <f aca="false">IF($A520&gt;PARAMETROS!$C$33,"",IF(P520&lt;=0,"AGOTADO","OK"))</f>
        <v/>
      </c>
    </row>
    <row r="521" customFormat="false" ht="15" hidden="false" customHeight="false" outlineLevel="0" collapsed="false">
      <c r="A521" s="19" t="n">
        <f aca="false">A520+1</f>
        <v>519</v>
      </c>
      <c r="B521" s="19" t="n">
        <f aca="false">IF($A521="","",ROUNDUP($A521/12,0))</f>
        <v>44</v>
      </c>
      <c r="C521" s="19" t="n">
        <f aca="false">IF($A521="","",PARAMETROS!$C$6+INT(($A521-1)/12))</f>
        <v>108</v>
      </c>
      <c r="D521" s="19" t="n">
        <f aca="false">IF($A521="","",MOD($A521-1,12)+1)</f>
        <v>3</v>
      </c>
      <c r="E521" s="20" t="str">
        <f aca="false">IF($A521&gt;PARAMETROS!$C$33,"",P520)</f>
        <v/>
      </c>
      <c r="F521" s="21" t="str">
        <f aca="false">IF($A521&gt;PARAMETROS!$C$33,"",PARAMETROS!$C$38)</f>
        <v/>
      </c>
      <c r="G521" s="20" t="str">
        <f aca="false">IF($A521&gt;PARAMETROS!$C$33,"",E521*F521)</f>
        <v/>
      </c>
      <c r="H521" s="20" t="str">
        <f aca="false">IF($A521&gt;PARAMETROS!$C$33,"",E521*PARAMETROS!$C$39)</f>
        <v/>
      </c>
      <c r="I521" s="20" t="str">
        <f aca="false">IF($A521&gt;PARAMETROS!$C$33,"",G521-H521)</f>
        <v/>
      </c>
      <c r="J521" s="20" t="str">
        <f aca="false">IF($A521&gt;PARAMETROS!$C$33,"",PARAMETROS!$C$9*(1+PARAMETROS!$C$17)^(B521-1))</f>
        <v/>
      </c>
      <c r="K521" s="20" t="str">
        <f aca="false">IF($A521&gt;PARAMETROS!$C$33,"",K520*(1+PARAMETROS!$C$36))</f>
        <v/>
      </c>
      <c r="L521" s="20" t="str">
        <f aca="false">IF($A521&gt;PARAMETROS!$C$33,"",L520*(1+PARAMETROS!$C$37)*(1+M521))</f>
        <v/>
      </c>
      <c r="M521" s="21" t="str">
        <f aca="false">IF($A521&gt;PARAMETROS!$C$33,"",IF(C521&lt;70,PARAMETROS!$C$40,IF(C521&lt;75,PARAMETROS!$C$41,IF(C521&lt;80,PARAMETROS!$C$42,IF(C521&lt;85,PARAMETROS!$C$43,IF(C521&lt;90,PARAMETROS!$C$44,PARAMETROS!$C$45))))))</f>
        <v/>
      </c>
      <c r="N521" s="20" t="str">
        <f aca="false">IF($A521&gt;PARAMETROS!$C$33,"",K521+L521)</f>
        <v/>
      </c>
      <c r="O521" s="20" t="str">
        <f aca="false">IF($A521&gt;PARAMETROS!$C$33,"",I521+J521-N521)</f>
        <v/>
      </c>
      <c r="P521" s="20" t="str">
        <f aca="false">IF($A521&gt;PARAMETROS!$C$33,"",MAX(E521+I521+J521-N521,0))</f>
        <v/>
      </c>
      <c r="Q521" s="22" t="str">
        <f aca="false">IF($A521&gt;PARAMETROS!$C$33,"",IF(P521&lt;=0,"AGOTADO","OK"))</f>
        <v/>
      </c>
    </row>
    <row r="522" customFormat="false" ht="15" hidden="false" customHeight="false" outlineLevel="0" collapsed="false">
      <c r="A522" s="19" t="n">
        <f aca="false">A521+1</f>
        <v>520</v>
      </c>
      <c r="B522" s="19" t="n">
        <f aca="false">IF($A522="","",ROUNDUP($A522/12,0))</f>
        <v>44</v>
      </c>
      <c r="C522" s="19" t="n">
        <f aca="false">IF($A522="","",PARAMETROS!$C$6+INT(($A522-1)/12))</f>
        <v>108</v>
      </c>
      <c r="D522" s="19" t="n">
        <f aca="false">IF($A522="","",MOD($A522-1,12)+1)</f>
        <v>4</v>
      </c>
      <c r="E522" s="20" t="str">
        <f aca="false">IF($A522&gt;PARAMETROS!$C$33,"",P521)</f>
        <v/>
      </c>
      <c r="F522" s="21" t="str">
        <f aca="false">IF($A522&gt;PARAMETROS!$C$33,"",PARAMETROS!$C$38)</f>
        <v/>
      </c>
      <c r="G522" s="20" t="str">
        <f aca="false">IF($A522&gt;PARAMETROS!$C$33,"",E522*F522)</f>
        <v/>
      </c>
      <c r="H522" s="20" t="str">
        <f aca="false">IF($A522&gt;PARAMETROS!$C$33,"",E522*PARAMETROS!$C$39)</f>
        <v/>
      </c>
      <c r="I522" s="20" t="str">
        <f aca="false">IF($A522&gt;PARAMETROS!$C$33,"",G522-H522)</f>
        <v/>
      </c>
      <c r="J522" s="20" t="str">
        <f aca="false">IF($A522&gt;PARAMETROS!$C$33,"",PARAMETROS!$C$9*(1+PARAMETROS!$C$17)^(B522-1))</f>
        <v/>
      </c>
      <c r="K522" s="20" t="str">
        <f aca="false">IF($A522&gt;PARAMETROS!$C$33,"",K521*(1+PARAMETROS!$C$36))</f>
        <v/>
      </c>
      <c r="L522" s="20" t="str">
        <f aca="false">IF($A522&gt;PARAMETROS!$C$33,"",L521*(1+PARAMETROS!$C$37)*(1+M522))</f>
        <v/>
      </c>
      <c r="M522" s="21" t="str">
        <f aca="false">IF($A522&gt;PARAMETROS!$C$33,"",IF(C522&lt;70,PARAMETROS!$C$40,IF(C522&lt;75,PARAMETROS!$C$41,IF(C522&lt;80,PARAMETROS!$C$42,IF(C522&lt;85,PARAMETROS!$C$43,IF(C522&lt;90,PARAMETROS!$C$44,PARAMETROS!$C$45))))))</f>
        <v/>
      </c>
      <c r="N522" s="20" t="str">
        <f aca="false">IF($A522&gt;PARAMETROS!$C$33,"",K522+L522)</f>
        <v/>
      </c>
      <c r="O522" s="20" t="str">
        <f aca="false">IF($A522&gt;PARAMETROS!$C$33,"",I522+J522-N522)</f>
        <v/>
      </c>
      <c r="P522" s="20" t="str">
        <f aca="false">IF($A522&gt;PARAMETROS!$C$33,"",MAX(E522+I522+J522-N522,0))</f>
        <v/>
      </c>
      <c r="Q522" s="22" t="str">
        <f aca="false">IF($A522&gt;PARAMETROS!$C$33,"",IF(P522&lt;=0,"AGOTADO","OK"))</f>
        <v/>
      </c>
    </row>
    <row r="523" customFormat="false" ht="15" hidden="false" customHeight="false" outlineLevel="0" collapsed="false">
      <c r="A523" s="19" t="n">
        <f aca="false">A522+1</f>
        <v>521</v>
      </c>
      <c r="B523" s="19" t="n">
        <f aca="false">IF($A523="","",ROUNDUP($A523/12,0))</f>
        <v>44</v>
      </c>
      <c r="C523" s="19" t="n">
        <f aca="false">IF($A523="","",PARAMETROS!$C$6+INT(($A523-1)/12))</f>
        <v>108</v>
      </c>
      <c r="D523" s="19" t="n">
        <f aca="false">IF($A523="","",MOD($A523-1,12)+1)</f>
        <v>5</v>
      </c>
      <c r="E523" s="20" t="str">
        <f aca="false">IF($A523&gt;PARAMETROS!$C$33,"",P522)</f>
        <v/>
      </c>
      <c r="F523" s="21" t="str">
        <f aca="false">IF($A523&gt;PARAMETROS!$C$33,"",PARAMETROS!$C$38)</f>
        <v/>
      </c>
      <c r="G523" s="20" t="str">
        <f aca="false">IF($A523&gt;PARAMETROS!$C$33,"",E523*F523)</f>
        <v/>
      </c>
      <c r="H523" s="20" t="str">
        <f aca="false">IF($A523&gt;PARAMETROS!$C$33,"",E523*PARAMETROS!$C$39)</f>
        <v/>
      </c>
      <c r="I523" s="20" t="str">
        <f aca="false">IF($A523&gt;PARAMETROS!$C$33,"",G523-H523)</f>
        <v/>
      </c>
      <c r="J523" s="20" t="str">
        <f aca="false">IF($A523&gt;PARAMETROS!$C$33,"",PARAMETROS!$C$9*(1+PARAMETROS!$C$17)^(B523-1))</f>
        <v/>
      </c>
      <c r="K523" s="20" t="str">
        <f aca="false">IF($A523&gt;PARAMETROS!$C$33,"",K522*(1+PARAMETROS!$C$36))</f>
        <v/>
      </c>
      <c r="L523" s="20" t="str">
        <f aca="false">IF($A523&gt;PARAMETROS!$C$33,"",L522*(1+PARAMETROS!$C$37)*(1+M523))</f>
        <v/>
      </c>
      <c r="M523" s="21" t="str">
        <f aca="false">IF($A523&gt;PARAMETROS!$C$33,"",IF(C523&lt;70,PARAMETROS!$C$40,IF(C523&lt;75,PARAMETROS!$C$41,IF(C523&lt;80,PARAMETROS!$C$42,IF(C523&lt;85,PARAMETROS!$C$43,IF(C523&lt;90,PARAMETROS!$C$44,PARAMETROS!$C$45))))))</f>
        <v/>
      </c>
      <c r="N523" s="20" t="str">
        <f aca="false">IF($A523&gt;PARAMETROS!$C$33,"",K523+L523)</f>
        <v/>
      </c>
      <c r="O523" s="20" t="str">
        <f aca="false">IF($A523&gt;PARAMETROS!$C$33,"",I523+J523-N523)</f>
        <v/>
      </c>
      <c r="P523" s="20" t="str">
        <f aca="false">IF($A523&gt;PARAMETROS!$C$33,"",MAX(E523+I523+J523-N523,0))</f>
        <v/>
      </c>
      <c r="Q523" s="22" t="str">
        <f aca="false">IF($A523&gt;PARAMETROS!$C$33,"",IF(P523&lt;=0,"AGOTADO","OK"))</f>
        <v/>
      </c>
    </row>
    <row r="524" customFormat="false" ht="15" hidden="false" customHeight="false" outlineLevel="0" collapsed="false">
      <c r="A524" s="19" t="n">
        <f aca="false">A523+1</f>
        <v>522</v>
      </c>
      <c r="B524" s="19" t="n">
        <f aca="false">IF($A524="","",ROUNDUP($A524/12,0))</f>
        <v>44</v>
      </c>
      <c r="C524" s="19" t="n">
        <f aca="false">IF($A524="","",PARAMETROS!$C$6+INT(($A524-1)/12))</f>
        <v>108</v>
      </c>
      <c r="D524" s="19" t="n">
        <f aca="false">IF($A524="","",MOD($A524-1,12)+1)</f>
        <v>6</v>
      </c>
      <c r="E524" s="20" t="str">
        <f aca="false">IF($A524&gt;PARAMETROS!$C$33,"",P523)</f>
        <v/>
      </c>
      <c r="F524" s="21" t="str">
        <f aca="false">IF($A524&gt;PARAMETROS!$C$33,"",PARAMETROS!$C$38)</f>
        <v/>
      </c>
      <c r="G524" s="20" t="str">
        <f aca="false">IF($A524&gt;PARAMETROS!$C$33,"",E524*F524)</f>
        <v/>
      </c>
      <c r="H524" s="20" t="str">
        <f aca="false">IF($A524&gt;PARAMETROS!$C$33,"",E524*PARAMETROS!$C$39)</f>
        <v/>
      </c>
      <c r="I524" s="20" t="str">
        <f aca="false">IF($A524&gt;PARAMETROS!$C$33,"",G524-H524)</f>
        <v/>
      </c>
      <c r="J524" s="20" t="str">
        <f aca="false">IF($A524&gt;PARAMETROS!$C$33,"",PARAMETROS!$C$9*(1+PARAMETROS!$C$17)^(B524-1))</f>
        <v/>
      </c>
      <c r="K524" s="20" t="str">
        <f aca="false">IF($A524&gt;PARAMETROS!$C$33,"",K523*(1+PARAMETROS!$C$36))</f>
        <v/>
      </c>
      <c r="L524" s="20" t="str">
        <f aca="false">IF($A524&gt;PARAMETROS!$C$33,"",L523*(1+PARAMETROS!$C$37)*(1+M524))</f>
        <v/>
      </c>
      <c r="M524" s="21" t="str">
        <f aca="false">IF($A524&gt;PARAMETROS!$C$33,"",IF(C524&lt;70,PARAMETROS!$C$40,IF(C524&lt;75,PARAMETROS!$C$41,IF(C524&lt;80,PARAMETROS!$C$42,IF(C524&lt;85,PARAMETROS!$C$43,IF(C524&lt;90,PARAMETROS!$C$44,PARAMETROS!$C$45))))))</f>
        <v/>
      </c>
      <c r="N524" s="20" t="str">
        <f aca="false">IF($A524&gt;PARAMETROS!$C$33,"",K524+L524)</f>
        <v/>
      </c>
      <c r="O524" s="20" t="str">
        <f aca="false">IF($A524&gt;PARAMETROS!$C$33,"",I524+J524-N524)</f>
        <v/>
      </c>
      <c r="P524" s="20" t="str">
        <f aca="false">IF($A524&gt;PARAMETROS!$C$33,"",MAX(E524+I524+J524-N524,0))</f>
        <v/>
      </c>
      <c r="Q524" s="22" t="str">
        <f aca="false">IF($A524&gt;PARAMETROS!$C$33,"",IF(P524&lt;=0,"AGOTADO","OK"))</f>
        <v/>
      </c>
    </row>
    <row r="525" customFormat="false" ht="15" hidden="false" customHeight="false" outlineLevel="0" collapsed="false">
      <c r="A525" s="19" t="n">
        <f aca="false">A524+1</f>
        <v>523</v>
      </c>
      <c r="B525" s="19" t="n">
        <f aca="false">IF($A525="","",ROUNDUP($A525/12,0))</f>
        <v>44</v>
      </c>
      <c r="C525" s="19" t="n">
        <f aca="false">IF($A525="","",PARAMETROS!$C$6+INT(($A525-1)/12))</f>
        <v>108</v>
      </c>
      <c r="D525" s="19" t="n">
        <f aca="false">IF($A525="","",MOD($A525-1,12)+1)</f>
        <v>7</v>
      </c>
      <c r="E525" s="20" t="str">
        <f aca="false">IF($A525&gt;PARAMETROS!$C$33,"",P524)</f>
        <v/>
      </c>
      <c r="F525" s="21" t="str">
        <f aca="false">IF($A525&gt;PARAMETROS!$C$33,"",PARAMETROS!$C$38)</f>
        <v/>
      </c>
      <c r="G525" s="20" t="str">
        <f aca="false">IF($A525&gt;PARAMETROS!$C$33,"",E525*F525)</f>
        <v/>
      </c>
      <c r="H525" s="20" t="str">
        <f aca="false">IF($A525&gt;PARAMETROS!$C$33,"",E525*PARAMETROS!$C$39)</f>
        <v/>
      </c>
      <c r="I525" s="20" t="str">
        <f aca="false">IF($A525&gt;PARAMETROS!$C$33,"",G525-H525)</f>
        <v/>
      </c>
      <c r="J525" s="20" t="str">
        <f aca="false">IF($A525&gt;PARAMETROS!$C$33,"",PARAMETROS!$C$9*(1+PARAMETROS!$C$17)^(B525-1))</f>
        <v/>
      </c>
      <c r="K525" s="20" t="str">
        <f aca="false">IF($A525&gt;PARAMETROS!$C$33,"",K524*(1+PARAMETROS!$C$36))</f>
        <v/>
      </c>
      <c r="L525" s="20" t="str">
        <f aca="false">IF($A525&gt;PARAMETROS!$C$33,"",L524*(1+PARAMETROS!$C$37)*(1+M525))</f>
        <v/>
      </c>
      <c r="M525" s="21" t="str">
        <f aca="false">IF($A525&gt;PARAMETROS!$C$33,"",IF(C525&lt;70,PARAMETROS!$C$40,IF(C525&lt;75,PARAMETROS!$C$41,IF(C525&lt;80,PARAMETROS!$C$42,IF(C525&lt;85,PARAMETROS!$C$43,IF(C525&lt;90,PARAMETROS!$C$44,PARAMETROS!$C$45))))))</f>
        <v/>
      </c>
      <c r="N525" s="20" t="str">
        <f aca="false">IF($A525&gt;PARAMETROS!$C$33,"",K525+L525)</f>
        <v/>
      </c>
      <c r="O525" s="20" t="str">
        <f aca="false">IF($A525&gt;PARAMETROS!$C$33,"",I525+J525-N525)</f>
        <v/>
      </c>
      <c r="P525" s="20" t="str">
        <f aca="false">IF($A525&gt;PARAMETROS!$C$33,"",MAX(E525+I525+J525-N525,0))</f>
        <v/>
      </c>
      <c r="Q525" s="22" t="str">
        <f aca="false">IF($A525&gt;PARAMETROS!$C$33,"",IF(P525&lt;=0,"AGOTADO","OK"))</f>
        <v/>
      </c>
    </row>
    <row r="526" customFormat="false" ht="15" hidden="false" customHeight="false" outlineLevel="0" collapsed="false">
      <c r="A526" s="19" t="n">
        <f aca="false">A525+1</f>
        <v>524</v>
      </c>
      <c r="B526" s="19" t="n">
        <f aca="false">IF($A526="","",ROUNDUP($A526/12,0))</f>
        <v>44</v>
      </c>
      <c r="C526" s="19" t="n">
        <f aca="false">IF($A526="","",PARAMETROS!$C$6+INT(($A526-1)/12))</f>
        <v>108</v>
      </c>
      <c r="D526" s="19" t="n">
        <f aca="false">IF($A526="","",MOD($A526-1,12)+1)</f>
        <v>8</v>
      </c>
      <c r="E526" s="20" t="str">
        <f aca="false">IF($A526&gt;PARAMETROS!$C$33,"",P525)</f>
        <v/>
      </c>
      <c r="F526" s="21" t="str">
        <f aca="false">IF($A526&gt;PARAMETROS!$C$33,"",PARAMETROS!$C$38)</f>
        <v/>
      </c>
      <c r="G526" s="20" t="str">
        <f aca="false">IF($A526&gt;PARAMETROS!$C$33,"",E526*F526)</f>
        <v/>
      </c>
      <c r="H526" s="20" t="str">
        <f aca="false">IF($A526&gt;PARAMETROS!$C$33,"",E526*PARAMETROS!$C$39)</f>
        <v/>
      </c>
      <c r="I526" s="20" t="str">
        <f aca="false">IF($A526&gt;PARAMETROS!$C$33,"",G526-H526)</f>
        <v/>
      </c>
      <c r="J526" s="20" t="str">
        <f aca="false">IF($A526&gt;PARAMETROS!$C$33,"",PARAMETROS!$C$9*(1+PARAMETROS!$C$17)^(B526-1))</f>
        <v/>
      </c>
      <c r="K526" s="20" t="str">
        <f aca="false">IF($A526&gt;PARAMETROS!$C$33,"",K525*(1+PARAMETROS!$C$36))</f>
        <v/>
      </c>
      <c r="L526" s="20" t="str">
        <f aca="false">IF($A526&gt;PARAMETROS!$C$33,"",L525*(1+PARAMETROS!$C$37)*(1+M526))</f>
        <v/>
      </c>
      <c r="M526" s="21" t="str">
        <f aca="false">IF($A526&gt;PARAMETROS!$C$33,"",IF(C526&lt;70,PARAMETROS!$C$40,IF(C526&lt;75,PARAMETROS!$C$41,IF(C526&lt;80,PARAMETROS!$C$42,IF(C526&lt;85,PARAMETROS!$C$43,IF(C526&lt;90,PARAMETROS!$C$44,PARAMETROS!$C$45))))))</f>
        <v/>
      </c>
      <c r="N526" s="20" t="str">
        <f aca="false">IF($A526&gt;PARAMETROS!$C$33,"",K526+L526)</f>
        <v/>
      </c>
      <c r="O526" s="20" t="str">
        <f aca="false">IF($A526&gt;PARAMETROS!$C$33,"",I526+J526-N526)</f>
        <v/>
      </c>
      <c r="P526" s="20" t="str">
        <f aca="false">IF($A526&gt;PARAMETROS!$C$33,"",MAX(E526+I526+J526-N526,0))</f>
        <v/>
      </c>
      <c r="Q526" s="22" t="str">
        <f aca="false">IF($A526&gt;PARAMETROS!$C$33,"",IF(P526&lt;=0,"AGOTADO","OK"))</f>
        <v/>
      </c>
    </row>
    <row r="527" customFormat="false" ht="15" hidden="false" customHeight="false" outlineLevel="0" collapsed="false">
      <c r="A527" s="19" t="n">
        <f aca="false">A526+1</f>
        <v>525</v>
      </c>
      <c r="B527" s="19" t="n">
        <f aca="false">IF($A527="","",ROUNDUP($A527/12,0))</f>
        <v>44</v>
      </c>
      <c r="C527" s="19" t="n">
        <f aca="false">IF($A527="","",PARAMETROS!$C$6+INT(($A527-1)/12))</f>
        <v>108</v>
      </c>
      <c r="D527" s="19" t="n">
        <f aca="false">IF($A527="","",MOD($A527-1,12)+1)</f>
        <v>9</v>
      </c>
      <c r="E527" s="20" t="str">
        <f aca="false">IF($A527&gt;PARAMETROS!$C$33,"",P526)</f>
        <v/>
      </c>
      <c r="F527" s="21" t="str">
        <f aca="false">IF($A527&gt;PARAMETROS!$C$33,"",PARAMETROS!$C$38)</f>
        <v/>
      </c>
      <c r="G527" s="20" t="str">
        <f aca="false">IF($A527&gt;PARAMETROS!$C$33,"",E527*F527)</f>
        <v/>
      </c>
      <c r="H527" s="20" t="str">
        <f aca="false">IF($A527&gt;PARAMETROS!$C$33,"",E527*PARAMETROS!$C$39)</f>
        <v/>
      </c>
      <c r="I527" s="20" t="str">
        <f aca="false">IF($A527&gt;PARAMETROS!$C$33,"",G527-H527)</f>
        <v/>
      </c>
      <c r="J527" s="20" t="str">
        <f aca="false">IF($A527&gt;PARAMETROS!$C$33,"",PARAMETROS!$C$9*(1+PARAMETROS!$C$17)^(B527-1))</f>
        <v/>
      </c>
      <c r="K527" s="20" t="str">
        <f aca="false">IF($A527&gt;PARAMETROS!$C$33,"",K526*(1+PARAMETROS!$C$36))</f>
        <v/>
      </c>
      <c r="L527" s="20" t="str">
        <f aca="false">IF($A527&gt;PARAMETROS!$C$33,"",L526*(1+PARAMETROS!$C$37)*(1+M527))</f>
        <v/>
      </c>
      <c r="M527" s="21" t="str">
        <f aca="false">IF($A527&gt;PARAMETROS!$C$33,"",IF(C527&lt;70,PARAMETROS!$C$40,IF(C527&lt;75,PARAMETROS!$C$41,IF(C527&lt;80,PARAMETROS!$C$42,IF(C527&lt;85,PARAMETROS!$C$43,IF(C527&lt;90,PARAMETROS!$C$44,PARAMETROS!$C$45))))))</f>
        <v/>
      </c>
      <c r="N527" s="20" t="str">
        <f aca="false">IF($A527&gt;PARAMETROS!$C$33,"",K527+L527)</f>
        <v/>
      </c>
      <c r="O527" s="20" t="str">
        <f aca="false">IF($A527&gt;PARAMETROS!$C$33,"",I527+J527-N527)</f>
        <v/>
      </c>
      <c r="P527" s="20" t="str">
        <f aca="false">IF($A527&gt;PARAMETROS!$C$33,"",MAX(E527+I527+J527-N527,0))</f>
        <v/>
      </c>
      <c r="Q527" s="22" t="str">
        <f aca="false">IF($A527&gt;PARAMETROS!$C$33,"",IF(P527&lt;=0,"AGOTADO","OK"))</f>
        <v/>
      </c>
    </row>
    <row r="528" customFormat="false" ht="15" hidden="false" customHeight="false" outlineLevel="0" collapsed="false">
      <c r="A528" s="19" t="n">
        <f aca="false">A527+1</f>
        <v>526</v>
      </c>
      <c r="B528" s="19" t="n">
        <f aca="false">IF($A528="","",ROUNDUP($A528/12,0))</f>
        <v>44</v>
      </c>
      <c r="C528" s="19" t="n">
        <f aca="false">IF($A528="","",PARAMETROS!$C$6+INT(($A528-1)/12))</f>
        <v>108</v>
      </c>
      <c r="D528" s="19" t="n">
        <f aca="false">IF($A528="","",MOD($A528-1,12)+1)</f>
        <v>10</v>
      </c>
      <c r="E528" s="20" t="str">
        <f aca="false">IF($A528&gt;PARAMETROS!$C$33,"",P527)</f>
        <v/>
      </c>
      <c r="F528" s="21" t="str">
        <f aca="false">IF($A528&gt;PARAMETROS!$C$33,"",PARAMETROS!$C$38)</f>
        <v/>
      </c>
      <c r="G528" s="20" t="str">
        <f aca="false">IF($A528&gt;PARAMETROS!$C$33,"",E528*F528)</f>
        <v/>
      </c>
      <c r="H528" s="20" t="str">
        <f aca="false">IF($A528&gt;PARAMETROS!$C$33,"",E528*PARAMETROS!$C$39)</f>
        <v/>
      </c>
      <c r="I528" s="20" t="str">
        <f aca="false">IF($A528&gt;PARAMETROS!$C$33,"",G528-H528)</f>
        <v/>
      </c>
      <c r="J528" s="20" t="str">
        <f aca="false">IF($A528&gt;PARAMETROS!$C$33,"",PARAMETROS!$C$9*(1+PARAMETROS!$C$17)^(B528-1))</f>
        <v/>
      </c>
      <c r="K528" s="20" t="str">
        <f aca="false">IF($A528&gt;PARAMETROS!$C$33,"",K527*(1+PARAMETROS!$C$36))</f>
        <v/>
      </c>
      <c r="L528" s="20" t="str">
        <f aca="false">IF($A528&gt;PARAMETROS!$C$33,"",L527*(1+PARAMETROS!$C$37)*(1+M528))</f>
        <v/>
      </c>
      <c r="M528" s="21" t="str">
        <f aca="false">IF($A528&gt;PARAMETROS!$C$33,"",IF(C528&lt;70,PARAMETROS!$C$40,IF(C528&lt;75,PARAMETROS!$C$41,IF(C528&lt;80,PARAMETROS!$C$42,IF(C528&lt;85,PARAMETROS!$C$43,IF(C528&lt;90,PARAMETROS!$C$44,PARAMETROS!$C$45))))))</f>
        <v/>
      </c>
      <c r="N528" s="20" t="str">
        <f aca="false">IF($A528&gt;PARAMETROS!$C$33,"",K528+L528)</f>
        <v/>
      </c>
      <c r="O528" s="20" t="str">
        <f aca="false">IF($A528&gt;PARAMETROS!$C$33,"",I528+J528-N528)</f>
        <v/>
      </c>
      <c r="P528" s="20" t="str">
        <f aca="false">IF($A528&gt;PARAMETROS!$C$33,"",MAX(E528+I528+J528-N528,0))</f>
        <v/>
      </c>
      <c r="Q528" s="22" t="str">
        <f aca="false">IF($A528&gt;PARAMETROS!$C$33,"",IF(P528&lt;=0,"AGOTADO","OK"))</f>
        <v/>
      </c>
    </row>
    <row r="529" customFormat="false" ht="15" hidden="false" customHeight="false" outlineLevel="0" collapsed="false">
      <c r="A529" s="19" t="n">
        <f aca="false">A528+1</f>
        <v>527</v>
      </c>
      <c r="B529" s="19" t="n">
        <f aca="false">IF($A529="","",ROUNDUP($A529/12,0))</f>
        <v>44</v>
      </c>
      <c r="C529" s="19" t="n">
        <f aca="false">IF($A529="","",PARAMETROS!$C$6+INT(($A529-1)/12))</f>
        <v>108</v>
      </c>
      <c r="D529" s="19" t="n">
        <f aca="false">IF($A529="","",MOD($A529-1,12)+1)</f>
        <v>11</v>
      </c>
      <c r="E529" s="20" t="str">
        <f aca="false">IF($A529&gt;PARAMETROS!$C$33,"",P528)</f>
        <v/>
      </c>
      <c r="F529" s="21" t="str">
        <f aca="false">IF($A529&gt;PARAMETROS!$C$33,"",PARAMETROS!$C$38)</f>
        <v/>
      </c>
      <c r="G529" s="20" t="str">
        <f aca="false">IF($A529&gt;PARAMETROS!$C$33,"",E529*F529)</f>
        <v/>
      </c>
      <c r="H529" s="20" t="str">
        <f aca="false">IF($A529&gt;PARAMETROS!$C$33,"",E529*PARAMETROS!$C$39)</f>
        <v/>
      </c>
      <c r="I529" s="20" t="str">
        <f aca="false">IF($A529&gt;PARAMETROS!$C$33,"",G529-H529)</f>
        <v/>
      </c>
      <c r="J529" s="20" t="str">
        <f aca="false">IF($A529&gt;PARAMETROS!$C$33,"",PARAMETROS!$C$9*(1+PARAMETROS!$C$17)^(B529-1))</f>
        <v/>
      </c>
      <c r="K529" s="20" t="str">
        <f aca="false">IF($A529&gt;PARAMETROS!$C$33,"",K528*(1+PARAMETROS!$C$36))</f>
        <v/>
      </c>
      <c r="L529" s="20" t="str">
        <f aca="false">IF($A529&gt;PARAMETROS!$C$33,"",L528*(1+PARAMETROS!$C$37)*(1+M529))</f>
        <v/>
      </c>
      <c r="M529" s="21" t="str">
        <f aca="false">IF($A529&gt;PARAMETROS!$C$33,"",IF(C529&lt;70,PARAMETROS!$C$40,IF(C529&lt;75,PARAMETROS!$C$41,IF(C529&lt;80,PARAMETROS!$C$42,IF(C529&lt;85,PARAMETROS!$C$43,IF(C529&lt;90,PARAMETROS!$C$44,PARAMETROS!$C$45))))))</f>
        <v/>
      </c>
      <c r="N529" s="20" t="str">
        <f aca="false">IF($A529&gt;PARAMETROS!$C$33,"",K529+L529)</f>
        <v/>
      </c>
      <c r="O529" s="20" t="str">
        <f aca="false">IF($A529&gt;PARAMETROS!$C$33,"",I529+J529-N529)</f>
        <v/>
      </c>
      <c r="P529" s="20" t="str">
        <f aca="false">IF($A529&gt;PARAMETROS!$C$33,"",MAX(E529+I529+J529-N529,0))</f>
        <v/>
      </c>
      <c r="Q529" s="22" t="str">
        <f aca="false">IF($A529&gt;PARAMETROS!$C$33,"",IF(P529&lt;=0,"AGOTADO","OK"))</f>
        <v/>
      </c>
    </row>
    <row r="530" customFormat="false" ht="15" hidden="false" customHeight="false" outlineLevel="0" collapsed="false">
      <c r="A530" s="19" t="n">
        <f aca="false">A529+1</f>
        <v>528</v>
      </c>
      <c r="B530" s="19" t="n">
        <f aca="false">IF($A530="","",ROUNDUP($A530/12,0))</f>
        <v>44</v>
      </c>
      <c r="C530" s="19" t="n">
        <f aca="false">IF($A530="","",PARAMETROS!$C$6+INT(($A530-1)/12))</f>
        <v>108</v>
      </c>
      <c r="D530" s="19" t="n">
        <f aca="false">IF($A530="","",MOD($A530-1,12)+1)</f>
        <v>12</v>
      </c>
      <c r="E530" s="20" t="str">
        <f aca="false">IF($A530&gt;PARAMETROS!$C$33,"",P529)</f>
        <v/>
      </c>
      <c r="F530" s="21" t="str">
        <f aca="false">IF($A530&gt;PARAMETROS!$C$33,"",PARAMETROS!$C$38)</f>
        <v/>
      </c>
      <c r="G530" s="20" t="str">
        <f aca="false">IF($A530&gt;PARAMETROS!$C$33,"",E530*F530)</f>
        <v/>
      </c>
      <c r="H530" s="20" t="str">
        <f aca="false">IF($A530&gt;PARAMETROS!$C$33,"",E530*PARAMETROS!$C$39)</f>
        <v/>
      </c>
      <c r="I530" s="20" t="str">
        <f aca="false">IF($A530&gt;PARAMETROS!$C$33,"",G530-H530)</f>
        <v/>
      </c>
      <c r="J530" s="20" t="str">
        <f aca="false">IF($A530&gt;PARAMETROS!$C$33,"",PARAMETROS!$C$9*(1+PARAMETROS!$C$17)^(B530-1))</f>
        <v/>
      </c>
      <c r="K530" s="20" t="str">
        <f aca="false">IF($A530&gt;PARAMETROS!$C$33,"",K529*(1+PARAMETROS!$C$36))</f>
        <v/>
      </c>
      <c r="L530" s="20" t="str">
        <f aca="false">IF($A530&gt;PARAMETROS!$C$33,"",L529*(1+PARAMETROS!$C$37)*(1+M530))</f>
        <v/>
      </c>
      <c r="M530" s="21" t="str">
        <f aca="false">IF($A530&gt;PARAMETROS!$C$33,"",IF(C530&lt;70,PARAMETROS!$C$40,IF(C530&lt;75,PARAMETROS!$C$41,IF(C530&lt;80,PARAMETROS!$C$42,IF(C530&lt;85,PARAMETROS!$C$43,IF(C530&lt;90,PARAMETROS!$C$44,PARAMETROS!$C$45))))))</f>
        <v/>
      </c>
      <c r="N530" s="20" t="str">
        <f aca="false">IF($A530&gt;PARAMETROS!$C$33,"",K530+L530)</f>
        <v/>
      </c>
      <c r="O530" s="20" t="str">
        <f aca="false">IF($A530&gt;PARAMETROS!$C$33,"",I530+J530-N530)</f>
        <v/>
      </c>
      <c r="P530" s="20" t="str">
        <f aca="false">IF($A530&gt;PARAMETROS!$C$33,"",MAX(E530+I530+J530-N530,0))</f>
        <v/>
      </c>
      <c r="Q530" s="22" t="str">
        <f aca="false">IF($A530&gt;PARAMETROS!$C$33,"",IF(P530&lt;=0,"AGOTADO","OK"))</f>
        <v/>
      </c>
    </row>
    <row r="531" customFormat="false" ht="15" hidden="false" customHeight="false" outlineLevel="0" collapsed="false">
      <c r="A531" s="15" t="n">
        <f aca="false">A530+1</f>
        <v>529</v>
      </c>
      <c r="B531" s="15" t="n">
        <f aca="false">IF($A531="","",ROUNDUP($A531/12,0))</f>
        <v>45</v>
      </c>
      <c r="C531" s="15" t="n">
        <f aca="false">IF($A531="","",PARAMETROS!$C$6+INT(($A531-1)/12))</f>
        <v>109</v>
      </c>
      <c r="D531" s="15" t="n">
        <f aca="false">IF($A531="","",MOD($A531-1,12)+1)</f>
        <v>1</v>
      </c>
      <c r="E531" s="16" t="str">
        <f aca="false">IF($A531&gt;PARAMETROS!$C$33,"",P530)</f>
        <v/>
      </c>
      <c r="F531" s="17" t="str">
        <f aca="false">IF($A531&gt;PARAMETROS!$C$33,"",PARAMETROS!$C$38)</f>
        <v/>
      </c>
      <c r="G531" s="16" t="str">
        <f aca="false">IF($A531&gt;PARAMETROS!$C$33,"",E531*F531)</f>
        <v/>
      </c>
      <c r="H531" s="16" t="str">
        <f aca="false">IF($A531&gt;PARAMETROS!$C$33,"",E531*PARAMETROS!$C$39)</f>
        <v/>
      </c>
      <c r="I531" s="16" t="str">
        <f aca="false">IF($A531&gt;PARAMETROS!$C$33,"",G531-H531)</f>
        <v/>
      </c>
      <c r="J531" s="16" t="str">
        <f aca="false">IF($A531&gt;PARAMETROS!$C$33,"",PARAMETROS!$C$9*(1+PARAMETROS!$C$17)^(B531-1))</f>
        <v/>
      </c>
      <c r="K531" s="16" t="str">
        <f aca="false">IF($A531&gt;PARAMETROS!$C$33,"",K530*(1+PARAMETROS!$C$36))</f>
        <v/>
      </c>
      <c r="L531" s="16" t="str">
        <f aca="false">IF($A531&gt;PARAMETROS!$C$33,"",L530*(1+PARAMETROS!$C$37)*(1+M531))</f>
        <v/>
      </c>
      <c r="M531" s="17" t="str">
        <f aca="false">IF($A531&gt;PARAMETROS!$C$33,"",IF(C531&lt;70,PARAMETROS!$C$40,IF(C531&lt;75,PARAMETROS!$C$41,IF(C531&lt;80,PARAMETROS!$C$42,IF(C531&lt;85,PARAMETROS!$C$43,IF(C531&lt;90,PARAMETROS!$C$44,PARAMETROS!$C$45))))))</f>
        <v/>
      </c>
      <c r="N531" s="16" t="str">
        <f aca="false">IF($A531&gt;PARAMETROS!$C$33,"",K531+L531)</f>
        <v/>
      </c>
      <c r="O531" s="16" t="str">
        <f aca="false">IF($A531&gt;PARAMETROS!$C$33,"",I531+J531-N531)</f>
        <v/>
      </c>
      <c r="P531" s="16" t="str">
        <f aca="false">IF($A531&gt;PARAMETROS!$C$33,"",MAX(E531+I531+J531-N531,0))</f>
        <v/>
      </c>
      <c r="Q531" s="18" t="str">
        <f aca="false">IF($A531&gt;PARAMETROS!$C$33,"",IF(P531&lt;=0,"AGOTADO","OK"))</f>
        <v/>
      </c>
    </row>
    <row r="532" customFormat="false" ht="15" hidden="false" customHeight="false" outlineLevel="0" collapsed="false">
      <c r="A532" s="15" t="n">
        <f aca="false">A531+1</f>
        <v>530</v>
      </c>
      <c r="B532" s="15" t="n">
        <f aca="false">IF($A532="","",ROUNDUP($A532/12,0))</f>
        <v>45</v>
      </c>
      <c r="C532" s="15" t="n">
        <f aca="false">IF($A532="","",PARAMETROS!$C$6+INT(($A532-1)/12))</f>
        <v>109</v>
      </c>
      <c r="D532" s="15" t="n">
        <f aca="false">IF($A532="","",MOD($A532-1,12)+1)</f>
        <v>2</v>
      </c>
      <c r="E532" s="16" t="str">
        <f aca="false">IF($A532&gt;PARAMETROS!$C$33,"",P531)</f>
        <v/>
      </c>
      <c r="F532" s="17" t="str">
        <f aca="false">IF($A532&gt;PARAMETROS!$C$33,"",PARAMETROS!$C$38)</f>
        <v/>
      </c>
      <c r="G532" s="16" t="str">
        <f aca="false">IF($A532&gt;PARAMETROS!$C$33,"",E532*F532)</f>
        <v/>
      </c>
      <c r="H532" s="16" t="str">
        <f aca="false">IF($A532&gt;PARAMETROS!$C$33,"",E532*PARAMETROS!$C$39)</f>
        <v/>
      </c>
      <c r="I532" s="16" t="str">
        <f aca="false">IF($A532&gt;PARAMETROS!$C$33,"",G532-H532)</f>
        <v/>
      </c>
      <c r="J532" s="16" t="str">
        <f aca="false">IF($A532&gt;PARAMETROS!$C$33,"",PARAMETROS!$C$9*(1+PARAMETROS!$C$17)^(B532-1))</f>
        <v/>
      </c>
      <c r="K532" s="16" t="str">
        <f aca="false">IF($A532&gt;PARAMETROS!$C$33,"",K531*(1+PARAMETROS!$C$36))</f>
        <v/>
      </c>
      <c r="L532" s="16" t="str">
        <f aca="false">IF($A532&gt;PARAMETROS!$C$33,"",L531*(1+PARAMETROS!$C$37)*(1+M532))</f>
        <v/>
      </c>
      <c r="M532" s="17" t="str">
        <f aca="false">IF($A532&gt;PARAMETROS!$C$33,"",IF(C532&lt;70,PARAMETROS!$C$40,IF(C532&lt;75,PARAMETROS!$C$41,IF(C532&lt;80,PARAMETROS!$C$42,IF(C532&lt;85,PARAMETROS!$C$43,IF(C532&lt;90,PARAMETROS!$C$44,PARAMETROS!$C$45))))))</f>
        <v/>
      </c>
      <c r="N532" s="16" t="str">
        <f aca="false">IF($A532&gt;PARAMETROS!$C$33,"",K532+L532)</f>
        <v/>
      </c>
      <c r="O532" s="16" t="str">
        <f aca="false">IF($A532&gt;PARAMETROS!$C$33,"",I532+J532-N532)</f>
        <v/>
      </c>
      <c r="P532" s="16" t="str">
        <f aca="false">IF($A532&gt;PARAMETROS!$C$33,"",MAX(E532+I532+J532-N532,0))</f>
        <v/>
      </c>
      <c r="Q532" s="18" t="str">
        <f aca="false">IF($A532&gt;PARAMETROS!$C$33,"",IF(P532&lt;=0,"AGOTADO","OK"))</f>
        <v/>
      </c>
    </row>
    <row r="533" customFormat="false" ht="15" hidden="false" customHeight="false" outlineLevel="0" collapsed="false">
      <c r="A533" s="15" t="n">
        <f aca="false">A532+1</f>
        <v>531</v>
      </c>
      <c r="B533" s="15" t="n">
        <f aca="false">IF($A533="","",ROUNDUP($A533/12,0))</f>
        <v>45</v>
      </c>
      <c r="C533" s="15" t="n">
        <f aca="false">IF($A533="","",PARAMETROS!$C$6+INT(($A533-1)/12))</f>
        <v>109</v>
      </c>
      <c r="D533" s="15" t="n">
        <f aca="false">IF($A533="","",MOD($A533-1,12)+1)</f>
        <v>3</v>
      </c>
      <c r="E533" s="16" t="str">
        <f aca="false">IF($A533&gt;PARAMETROS!$C$33,"",P532)</f>
        <v/>
      </c>
      <c r="F533" s="17" t="str">
        <f aca="false">IF($A533&gt;PARAMETROS!$C$33,"",PARAMETROS!$C$38)</f>
        <v/>
      </c>
      <c r="G533" s="16" t="str">
        <f aca="false">IF($A533&gt;PARAMETROS!$C$33,"",E533*F533)</f>
        <v/>
      </c>
      <c r="H533" s="16" t="str">
        <f aca="false">IF($A533&gt;PARAMETROS!$C$33,"",E533*PARAMETROS!$C$39)</f>
        <v/>
      </c>
      <c r="I533" s="16" t="str">
        <f aca="false">IF($A533&gt;PARAMETROS!$C$33,"",G533-H533)</f>
        <v/>
      </c>
      <c r="J533" s="16" t="str">
        <f aca="false">IF($A533&gt;PARAMETROS!$C$33,"",PARAMETROS!$C$9*(1+PARAMETROS!$C$17)^(B533-1))</f>
        <v/>
      </c>
      <c r="K533" s="16" t="str">
        <f aca="false">IF($A533&gt;PARAMETROS!$C$33,"",K532*(1+PARAMETROS!$C$36))</f>
        <v/>
      </c>
      <c r="L533" s="16" t="str">
        <f aca="false">IF($A533&gt;PARAMETROS!$C$33,"",L532*(1+PARAMETROS!$C$37)*(1+M533))</f>
        <v/>
      </c>
      <c r="M533" s="17" t="str">
        <f aca="false">IF($A533&gt;PARAMETROS!$C$33,"",IF(C533&lt;70,PARAMETROS!$C$40,IF(C533&lt;75,PARAMETROS!$C$41,IF(C533&lt;80,PARAMETROS!$C$42,IF(C533&lt;85,PARAMETROS!$C$43,IF(C533&lt;90,PARAMETROS!$C$44,PARAMETROS!$C$45))))))</f>
        <v/>
      </c>
      <c r="N533" s="16" t="str">
        <f aca="false">IF($A533&gt;PARAMETROS!$C$33,"",K533+L533)</f>
        <v/>
      </c>
      <c r="O533" s="16" t="str">
        <f aca="false">IF($A533&gt;PARAMETROS!$C$33,"",I533+J533-N533)</f>
        <v/>
      </c>
      <c r="P533" s="16" t="str">
        <f aca="false">IF($A533&gt;PARAMETROS!$C$33,"",MAX(E533+I533+J533-N533,0))</f>
        <v/>
      </c>
      <c r="Q533" s="18" t="str">
        <f aca="false">IF($A533&gt;PARAMETROS!$C$33,"",IF(P533&lt;=0,"AGOTADO","OK"))</f>
        <v/>
      </c>
    </row>
    <row r="534" customFormat="false" ht="15" hidden="false" customHeight="false" outlineLevel="0" collapsed="false">
      <c r="A534" s="15" t="n">
        <f aca="false">A533+1</f>
        <v>532</v>
      </c>
      <c r="B534" s="15" t="n">
        <f aca="false">IF($A534="","",ROUNDUP($A534/12,0))</f>
        <v>45</v>
      </c>
      <c r="C534" s="15" t="n">
        <f aca="false">IF($A534="","",PARAMETROS!$C$6+INT(($A534-1)/12))</f>
        <v>109</v>
      </c>
      <c r="D534" s="15" t="n">
        <f aca="false">IF($A534="","",MOD($A534-1,12)+1)</f>
        <v>4</v>
      </c>
      <c r="E534" s="16" t="str">
        <f aca="false">IF($A534&gt;PARAMETROS!$C$33,"",P533)</f>
        <v/>
      </c>
      <c r="F534" s="17" t="str">
        <f aca="false">IF($A534&gt;PARAMETROS!$C$33,"",PARAMETROS!$C$38)</f>
        <v/>
      </c>
      <c r="G534" s="16" t="str">
        <f aca="false">IF($A534&gt;PARAMETROS!$C$33,"",E534*F534)</f>
        <v/>
      </c>
      <c r="H534" s="16" t="str">
        <f aca="false">IF($A534&gt;PARAMETROS!$C$33,"",E534*PARAMETROS!$C$39)</f>
        <v/>
      </c>
      <c r="I534" s="16" t="str">
        <f aca="false">IF($A534&gt;PARAMETROS!$C$33,"",G534-H534)</f>
        <v/>
      </c>
      <c r="J534" s="16" t="str">
        <f aca="false">IF($A534&gt;PARAMETROS!$C$33,"",PARAMETROS!$C$9*(1+PARAMETROS!$C$17)^(B534-1))</f>
        <v/>
      </c>
      <c r="K534" s="16" t="str">
        <f aca="false">IF($A534&gt;PARAMETROS!$C$33,"",K533*(1+PARAMETROS!$C$36))</f>
        <v/>
      </c>
      <c r="L534" s="16" t="str">
        <f aca="false">IF($A534&gt;PARAMETROS!$C$33,"",L533*(1+PARAMETROS!$C$37)*(1+M534))</f>
        <v/>
      </c>
      <c r="M534" s="17" t="str">
        <f aca="false">IF($A534&gt;PARAMETROS!$C$33,"",IF(C534&lt;70,PARAMETROS!$C$40,IF(C534&lt;75,PARAMETROS!$C$41,IF(C534&lt;80,PARAMETROS!$C$42,IF(C534&lt;85,PARAMETROS!$C$43,IF(C534&lt;90,PARAMETROS!$C$44,PARAMETROS!$C$45))))))</f>
        <v/>
      </c>
      <c r="N534" s="16" t="str">
        <f aca="false">IF($A534&gt;PARAMETROS!$C$33,"",K534+L534)</f>
        <v/>
      </c>
      <c r="O534" s="16" t="str">
        <f aca="false">IF($A534&gt;PARAMETROS!$C$33,"",I534+J534-N534)</f>
        <v/>
      </c>
      <c r="P534" s="16" t="str">
        <f aca="false">IF($A534&gt;PARAMETROS!$C$33,"",MAX(E534+I534+J534-N534,0))</f>
        <v/>
      </c>
      <c r="Q534" s="18" t="str">
        <f aca="false">IF($A534&gt;PARAMETROS!$C$33,"",IF(P534&lt;=0,"AGOTADO","OK"))</f>
        <v/>
      </c>
    </row>
    <row r="535" customFormat="false" ht="15" hidden="false" customHeight="false" outlineLevel="0" collapsed="false">
      <c r="A535" s="15" t="n">
        <f aca="false">A534+1</f>
        <v>533</v>
      </c>
      <c r="B535" s="15" t="n">
        <f aca="false">IF($A535="","",ROUNDUP($A535/12,0))</f>
        <v>45</v>
      </c>
      <c r="C535" s="15" t="n">
        <f aca="false">IF($A535="","",PARAMETROS!$C$6+INT(($A535-1)/12))</f>
        <v>109</v>
      </c>
      <c r="D535" s="15" t="n">
        <f aca="false">IF($A535="","",MOD($A535-1,12)+1)</f>
        <v>5</v>
      </c>
      <c r="E535" s="16" t="str">
        <f aca="false">IF($A535&gt;PARAMETROS!$C$33,"",P534)</f>
        <v/>
      </c>
      <c r="F535" s="17" t="str">
        <f aca="false">IF($A535&gt;PARAMETROS!$C$33,"",PARAMETROS!$C$38)</f>
        <v/>
      </c>
      <c r="G535" s="16" t="str">
        <f aca="false">IF($A535&gt;PARAMETROS!$C$33,"",E535*F535)</f>
        <v/>
      </c>
      <c r="H535" s="16" t="str">
        <f aca="false">IF($A535&gt;PARAMETROS!$C$33,"",E535*PARAMETROS!$C$39)</f>
        <v/>
      </c>
      <c r="I535" s="16" t="str">
        <f aca="false">IF($A535&gt;PARAMETROS!$C$33,"",G535-H535)</f>
        <v/>
      </c>
      <c r="J535" s="16" t="str">
        <f aca="false">IF($A535&gt;PARAMETROS!$C$33,"",PARAMETROS!$C$9*(1+PARAMETROS!$C$17)^(B535-1))</f>
        <v/>
      </c>
      <c r="K535" s="16" t="str">
        <f aca="false">IF($A535&gt;PARAMETROS!$C$33,"",K534*(1+PARAMETROS!$C$36))</f>
        <v/>
      </c>
      <c r="L535" s="16" t="str">
        <f aca="false">IF($A535&gt;PARAMETROS!$C$33,"",L534*(1+PARAMETROS!$C$37)*(1+M535))</f>
        <v/>
      </c>
      <c r="M535" s="17" t="str">
        <f aca="false">IF($A535&gt;PARAMETROS!$C$33,"",IF(C535&lt;70,PARAMETROS!$C$40,IF(C535&lt;75,PARAMETROS!$C$41,IF(C535&lt;80,PARAMETROS!$C$42,IF(C535&lt;85,PARAMETROS!$C$43,IF(C535&lt;90,PARAMETROS!$C$44,PARAMETROS!$C$45))))))</f>
        <v/>
      </c>
      <c r="N535" s="16" t="str">
        <f aca="false">IF($A535&gt;PARAMETROS!$C$33,"",K535+L535)</f>
        <v/>
      </c>
      <c r="O535" s="16" t="str">
        <f aca="false">IF($A535&gt;PARAMETROS!$C$33,"",I535+J535-N535)</f>
        <v/>
      </c>
      <c r="P535" s="16" t="str">
        <f aca="false">IF($A535&gt;PARAMETROS!$C$33,"",MAX(E535+I535+J535-N535,0))</f>
        <v/>
      </c>
      <c r="Q535" s="18" t="str">
        <f aca="false">IF($A535&gt;PARAMETROS!$C$33,"",IF(P535&lt;=0,"AGOTADO","OK"))</f>
        <v/>
      </c>
    </row>
    <row r="536" customFormat="false" ht="15" hidden="false" customHeight="false" outlineLevel="0" collapsed="false">
      <c r="A536" s="15" t="n">
        <f aca="false">A535+1</f>
        <v>534</v>
      </c>
      <c r="B536" s="15" t="n">
        <f aca="false">IF($A536="","",ROUNDUP($A536/12,0))</f>
        <v>45</v>
      </c>
      <c r="C536" s="15" t="n">
        <f aca="false">IF($A536="","",PARAMETROS!$C$6+INT(($A536-1)/12))</f>
        <v>109</v>
      </c>
      <c r="D536" s="15" t="n">
        <f aca="false">IF($A536="","",MOD($A536-1,12)+1)</f>
        <v>6</v>
      </c>
      <c r="E536" s="16" t="str">
        <f aca="false">IF($A536&gt;PARAMETROS!$C$33,"",P535)</f>
        <v/>
      </c>
      <c r="F536" s="17" t="str">
        <f aca="false">IF($A536&gt;PARAMETROS!$C$33,"",PARAMETROS!$C$38)</f>
        <v/>
      </c>
      <c r="G536" s="16" t="str">
        <f aca="false">IF($A536&gt;PARAMETROS!$C$33,"",E536*F536)</f>
        <v/>
      </c>
      <c r="H536" s="16" t="str">
        <f aca="false">IF($A536&gt;PARAMETROS!$C$33,"",E536*PARAMETROS!$C$39)</f>
        <v/>
      </c>
      <c r="I536" s="16" t="str">
        <f aca="false">IF($A536&gt;PARAMETROS!$C$33,"",G536-H536)</f>
        <v/>
      </c>
      <c r="J536" s="16" t="str">
        <f aca="false">IF($A536&gt;PARAMETROS!$C$33,"",PARAMETROS!$C$9*(1+PARAMETROS!$C$17)^(B536-1))</f>
        <v/>
      </c>
      <c r="K536" s="16" t="str">
        <f aca="false">IF($A536&gt;PARAMETROS!$C$33,"",K535*(1+PARAMETROS!$C$36))</f>
        <v/>
      </c>
      <c r="L536" s="16" t="str">
        <f aca="false">IF($A536&gt;PARAMETROS!$C$33,"",L535*(1+PARAMETROS!$C$37)*(1+M536))</f>
        <v/>
      </c>
      <c r="M536" s="17" t="str">
        <f aca="false">IF($A536&gt;PARAMETROS!$C$33,"",IF(C536&lt;70,PARAMETROS!$C$40,IF(C536&lt;75,PARAMETROS!$C$41,IF(C536&lt;80,PARAMETROS!$C$42,IF(C536&lt;85,PARAMETROS!$C$43,IF(C536&lt;90,PARAMETROS!$C$44,PARAMETROS!$C$45))))))</f>
        <v/>
      </c>
      <c r="N536" s="16" t="str">
        <f aca="false">IF($A536&gt;PARAMETROS!$C$33,"",K536+L536)</f>
        <v/>
      </c>
      <c r="O536" s="16" t="str">
        <f aca="false">IF($A536&gt;PARAMETROS!$C$33,"",I536+J536-N536)</f>
        <v/>
      </c>
      <c r="P536" s="16" t="str">
        <f aca="false">IF($A536&gt;PARAMETROS!$C$33,"",MAX(E536+I536+J536-N536,0))</f>
        <v/>
      </c>
      <c r="Q536" s="18" t="str">
        <f aca="false">IF($A536&gt;PARAMETROS!$C$33,"",IF(P536&lt;=0,"AGOTADO","OK"))</f>
        <v/>
      </c>
    </row>
    <row r="537" customFormat="false" ht="15" hidden="false" customHeight="false" outlineLevel="0" collapsed="false">
      <c r="A537" s="15" t="n">
        <f aca="false">A536+1</f>
        <v>535</v>
      </c>
      <c r="B537" s="15" t="n">
        <f aca="false">IF($A537="","",ROUNDUP($A537/12,0))</f>
        <v>45</v>
      </c>
      <c r="C537" s="15" t="n">
        <f aca="false">IF($A537="","",PARAMETROS!$C$6+INT(($A537-1)/12))</f>
        <v>109</v>
      </c>
      <c r="D537" s="15" t="n">
        <f aca="false">IF($A537="","",MOD($A537-1,12)+1)</f>
        <v>7</v>
      </c>
      <c r="E537" s="16" t="str">
        <f aca="false">IF($A537&gt;PARAMETROS!$C$33,"",P536)</f>
        <v/>
      </c>
      <c r="F537" s="17" t="str">
        <f aca="false">IF($A537&gt;PARAMETROS!$C$33,"",PARAMETROS!$C$38)</f>
        <v/>
      </c>
      <c r="G537" s="16" t="str">
        <f aca="false">IF($A537&gt;PARAMETROS!$C$33,"",E537*F537)</f>
        <v/>
      </c>
      <c r="H537" s="16" t="str">
        <f aca="false">IF($A537&gt;PARAMETROS!$C$33,"",E537*PARAMETROS!$C$39)</f>
        <v/>
      </c>
      <c r="I537" s="16" t="str">
        <f aca="false">IF($A537&gt;PARAMETROS!$C$33,"",G537-H537)</f>
        <v/>
      </c>
      <c r="J537" s="16" t="str">
        <f aca="false">IF($A537&gt;PARAMETROS!$C$33,"",PARAMETROS!$C$9*(1+PARAMETROS!$C$17)^(B537-1))</f>
        <v/>
      </c>
      <c r="K537" s="16" t="str">
        <f aca="false">IF($A537&gt;PARAMETROS!$C$33,"",K536*(1+PARAMETROS!$C$36))</f>
        <v/>
      </c>
      <c r="L537" s="16" t="str">
        <f aca="false">IF($A537&gt;PARAMETROS!$C$33,"",L536*(1+PARAMETROS!$C$37)*(1+M537))</f>
        <v/>
      </c>
      <c r="M537" s="17" t="str">
        <f aca="false">IF($A537&gt;PARAMETROS!$C$33,"",IF(C537&lt;70,PARAMETROS!$C$40,IF(C537&lt;75,PARAMETROS!$C$41,IF(C537&lt;80,PARAMETROS!$C$42,IF(C537&lt;85,PARAMETROS!$C$43,IF(C537&lt;90,PARAMETROS!$C$44,PARAMETROS!$C$45))))))</f>
        <v/>
      </c>
      <c r="N537" s="16" t="str">
        <f aca="false">IF($A537&gt;PARAMETROS!$C$33,"",K537+L537)</f>
        <v/>
      </c>
      <c r="O537" s="16" t="str">
        <f aca="false">IF($A537&gt;PARAMETROS!$C$33,"",I537+J537-N537)</f>
        <v/>
      </c>
      <c r="P537" s="16" t="str">
        <f aca="false">IF($A537&gt;PARAMETROS!$C$33,"",MAX(E537+I537+J537-N537,0))</f>
        <v/>
      </c>
      <c r="Q537" s="18" t="str">
        <f aca="false">IF($A537&gt;PARAMETROS!$C$33,"",IF(P537&lt;=0,"AGOTADO","OK"))</f>
        <v/>
      </c>
    </row>
    <row r="538" customFormat="false" ht="15" hidden="false" customHeight="false" outlineLevel="0" collapsed="false">
      <c r="A538" s="15" t="n">
        <f aca="false">A537+1</f>
        <v>536</v>
      </c>
      <c r="B538" s="15" t="n">
        <f aca="false">IF($A538="","",ROUNDUP($A538/12,0))</f>
        <v>45</v>
      </c>
      <c r="C538" s="15" t="n">
        <f aca="false">IF($A538="","",PARAMETROS!$C$6+INT(($A538-1)/12))</f>
        <v>109</v>
      </c>
      <c r="D538" s="15" t="n">
        <f aca="false">IF($A538="","",MOD($A538-1,12)+1)</f>
        <v>8</v>
      </c>
      <c r="E538" s="16" t="str">
        <f aca="false">IF($A538&gt;PARAMETROS!$C$33,"",P537)</f>
        <v/>
      </c>
      <c r="F538" s="17" t="str">
        <f aca="false">IF($A538&gt;PARAMETROS!$C$33,"",PARAMETROS!$C$38)</f>
        <v/>
      </c>
      <c r="G538" s="16" t="str">
        <f aca="false">IF($A538&gt;PARAMETROS!$C$33,"",E538*F538)</f>
        <v/>
      </c>
      <c r="H538" s="16" t="str">
        <f aca="false">IF($A538&gt;PARAMETROS!$C$33,"",E538*PARAMETROS!$C$39)</f>
        <v/>
      </c>
      <c r="I538" s="16" t="str">
        <f aca="false">IF($A538&gt;PARAMETROS!$C$33,"",G538-H538)</f>
        <v/>
      </c>
      <c r="J538" s="16" t="str">
        <f aca="false">IF($A538&gt;PARAMETROS!$C$33,"",PARAMETROS!$C$9*(1+PARAMETROS!$C$17)^(B538-1))</f>
        <v/>
      </c>
      <c r="K538" s="16" t="str">
        <f aca="false">IF($A538&gt;PARAMETROS!$C$33,"",K537*(1+PARAMETROS!$C$36))</f>
        <v/>
      </c>
      <c r="L538" s="16" t="str">
        <f aca="false">IF($A538&gt;PARAMETROS!$C$33,"",L537*(1+PARAMETROS!$C$37)*(1+M538))</f>
        <v/>
      </c>
      <c r="M538" s="17" t="str">
        <f aca="false">IF($A538&gt;PARAMETROS!$C$33,"",IF(C538&lt;70,PARAMETROS!$C$40,IF(C538&lt;75,PARAMETROS!$C$41,IF(C538&lt;80,PARAMETROS!$C$42,IF(C538&lt;85,PARAMETROS!$C$43,IF(C538&lt;90,PARAMETROS!$C$44,PARAMETROS!$C$45))))))</f>
        <v/>
      </c>
      <c r="N538" s="16" t="str">
        <f aca="false">IF($A538&gt;PARAMETROS!$C$33,"",K538+L538)</f>
        <v/>
      </c>
      <c r="O538" s="16" t="str">
        <f aca="false">IF($A538&gt;PARAMETROS!$C$33,"",I538+J538-N538)</f>
        <v/>
      </c>
      <c r="P538" s="16" t="str">
        <f aca="false">IF($A538&gt;PARAMETROS!$C$33,"",MAX(E538+I538+J538-N538,0))</f>
        <v/>
      </c>
      <c r="Q538" s="18" t="str">
        <f aca="false">IF($A538&gt;PARAMETROS!$C$33,"",IF(P538&lt;=0,"AGOTADO","OK"))</f>
        <v/>
      </c>
    </row>
    <row r="539" customFormat="false" ht="15" hidden="false" customHeight="false" outlineLevel="0" collapsed="false">
      <c r="A539" s="15" t="n">
        <f aca="false">A538+1</f>
        <v>537</v>
      </c>
      <c r="B539" s="15" t="n">
        <f aca="false">IF($A539="","",ROUNDUP($A539/12,0))</f>
        <v>45</v>
      </c>
      <c r="C539" s="15" t="n">
        <f aca="false">IF($A539="","",PARAMETROS!$C$6+INT(($A539-1)/12))</f>
        <v>109</v>
      </c>
      <c r="D539" s="15" t="n">
        <f aca="false">IF($A539="","",MOD($A539-1,12)+1)</f>
        <v>9</v>
      </c>
      <c r="E539" s="16" t="str">
        <f aca="false">IF($A539&gt;PARAMETROS!$C$33,"",P538)</f>
        <v/>
      </c>
      <c r="F539" s="17" t="str">
        <f aca="false">IF($A539&gt;PARAMETROS!$C$33,"",PARAMETROS!$C$38)</f>
        <v/>
      </c>
      <c r="G539" s="16" t="str">
        <f aca="false">IF($A539&gt;PARAMETROS!$C$33,"",E539*F539)</f>
        <v/>
      </c>
      <c r="H539" s="16" t="str">
        <f aca="false">IF($A539&gt;PARAMETROS!$C$33,"",E539*PARAMETROS!$C$39)</f>
        <v/>
      </c>
      <c r="I539" s="16" t="str">
        <f aca="false">IF($A539&gt;PARAMETROS!$C$33,"",G539-H539)</f>
        <v/>
      </c>
      <c r="J539" s="16" t="str">
        <f aca="false">IF($A539&gt;PARAMETROS!$C$33,"",PARAMETROS!$C$9*(1+PARAMETROS!$C$17)^(B539-1))</f>
        <v/>
      </c>
      <c r="K539" s="16" t="str">
        <f aca="false">IF($A539&gt;PARAMETROS!$C$33,"",K538*(1+PARAMETROS!$C$36))</f>
        <v/>
      </c>
      <c r="L539" s="16" t="str">
        <f aca="false">IF($A539&gt;PARAMETROS!$C$33,"",L538*(1+PARAMETROS!$C$37)*(1+M539))</f>
        <v/>
      </c>
      <c r="M539" s="17" t="str">
        <f aca="false">IF($A539&gt;PARAMETROS!$C$33,"",IF(C539&lt;70,PARAMETROS!$C$40,IF(C539&lt;75,PARAMETROS!$C$41,IF(C539&lt;80,PARAMETROS!$C$42,IF(C539&lt;85,PARAMETROS!$C$43,IF(C539&lt;90,PARAMETROS!$C$44,PARAMETROS!$C$45))))))</f>
        <v/>
      </c>
      <c r="N539" s="16" t="str">
        <f aca="false">IF($A539&gt;PARAMETROS!$C$33,"",K539+L539)</f>
        <v/>
      </c>
      <c r="O539" s="16" t="str">
        <f aca="false">IF($A539&gt;PARAMETROS!$C$33,"",I539+J539-N539)</f>
        <v/>
      </c>
      <c r="P539" s="16" t="str">
        <f aca="false">IF($A539&gt;PARAMETROS!$C$33,"",MAX(E539+I539+J539-N539,0))</f>
        <v/>
      </c>
      <c r="Q539" s="18" t="str">
        <f aca="false">IF($A539&gt;PARAMETROS!$C$33,"",IF(P539&lt;=0,"AGOTADO","OK"))</f>
        <v/>
      </c>
    </row>
    <row r="540" customFormat="false" ht="15" hidden="false" customHeight="false" outlineLevel="0" collapsed="false">
      <c r="A540" s="15" t="n">
        <f aca="false">A539+1</f>
        <v>538</v>
      </c>
      <c r="B540" s="15" t="n">
        <f aca="false">IF($A540="","",ROUNDUP($A540/12,0))</f>
        <v>45</v>
      </c>
      <c r="C540" s="15" t="n">
        <f aca="false">IF($A540="","",PARAMETROS!$C$6+INT(($A540-1)/12))</f>
        <v>109</v>
      </c>
      <c r="D540" s="15" t="n">
        <f aca="false">IF($A540="","",MOD($A540-1,12)+1)</f>
        <v>10</v>
      </c>
      <c r="E540" s="16" t="str">
        <f aca="false">IF($A540&gt;PARAMETROS!$C$33,"",P539)</f>
        <v/>
      </c>
      <c r="F540" s="17" t="str">
        <f aca="false">IF($A540&gt;PARAMETROS!$C$33,"",PARAMETROS!$C$38)</f>
        <v/>
      </c>
      <c r="G540" s="16" t="str">
        <f aca="false">IF($A540&gt;PARAMETROS!$C$33,"",E540*F540)</f>
        <v/>
      </c>
      <c r="H540" s="16" t="str">
        <f aca="false">IF($A540&gt;PARAMETROS!$C$33,"",E540*PARAMETROS!$C$39)</f>
        <v/>
      </c>
      <c r="I540" s="16" t="str">
        <f aca="false">IF($A540&gt;PARAMETROS!$C$33,"",G540-H540)</f>
        <v/>
      </c>
      <c r="J540" s="16" t="str">
        <f aca="false">IF($A540&gt;PARAMETROS!$C$33,"",PARAMETROS!$C$9*(1+PARAMETROS!$C$17)^(B540-1))</f>
        <v/>
      </c>
      <c r="K540" s="16" t="str">
        <f aca="false">IF($A540&gt;PARAMETROS!$C$33,"",K539*(1+PARAMETROS!$C$36))</f>
        <v/>
      </c>
      <c r="L540" s="16" t="str">
        <f aca="false">IF($A540&gt;PARAMETROS!$C$33,"",L539*(1+PARAMETROS!$C$37)*(1+M540))</f>
        <v/>
      </c>
      <c r="M540" s="17" t="str">
        <f aca="false">IF($A540&gt;PARAMETROS!$C$33,"",IF(C540&lt;70,PARAMETROS!$C$40,IF(C540&lt;75,PARAMETROS!$C$41,IF(C540&lt;80,PARAMETROS!$C$42,IF(C540&lt;85,PARAMETROS!$C$43,IF(C540&lt;90,PARAMETROS!$C$44,PARAMETROS!$C$45))))))</f>
        <v/>
      </c>
      <c r="N540" s="16" t="str">
        <f aca="false">IF($A540&gt;PARAMETROS!$C$33,"",K540+L540)</f>
        <v/>
      </c>
      <c r="O540" s="16" t="str">
        <f aca="false">IF($A540&gt;PARAMETROS!$C$33,"",I540+J540-N540)</f>
        <v/>
      </c>
      <c r="P540" s="16" t="str">
        <f aca="false">IF($A540&gt;PARAMETROS!$C$33,"",MAX(E540+I540+J540-N540,0))</f>
        <v/>
      </c>
      <c r="Q540" s="18" t="str">
        <f aca="false">IF($A540&gt;PARAMETROS!$C$33,"",IF(P540&lt;=0,"AGOTADO","OK"))</f>
        <v/>
      </c>
    </row>
    <row r="541" customFormat="false" ht="15" hidden="false" customHeight="false" outlineLevel="0" collapsed="false">
      <c r="A541" s="15" t="n">
        <f aca="false">A540+1</f>
        <v>539</v>
      </c>
      <c r="B541" s="15" t="n">
        <f aca="false">IF($A541="","",ROUNDUP($A541/12,0))</f>
        <v>45</v>
      </c>
      <c r="C541" s="15" t="n">
        <f aca="false">IF($A541="","",PARAMETROS!$C$6+INT(($A541-1)/12))</f>
        <v>109</v>
      </c>
      <c r="D541" s="15" t="n">
        <f aca="false">IF($A541="","",MOD($A541-1,12)+1)</f>
        <v>11</v>
      </c>
      <c r="E541" s="16" t="str">
        <f aca="false">IF($A541&gt;PARAMETROS!$C$33,"",P540)</f>
        <v/>
      </c>
      <c r="F541" s="17" t="str">
        <f aca="false">IF($A541&gt;PARAMETROS!$C$33,"",PARAMETROS!$C$38)</f>
        <v/>
      </c>
      <c r="G541" s="16" t="str">
        <f aca="false">IF($A541&gt;PARAMETROS!$C$33,"",E541*F541)</f>
        <v/>
      </c>
      <c r="H541" s="16" t="str">
        <f aca="false">IF($A541&gt;PARAMETROS!$C$33,"",E541*PARAMETROS!$C$39)</f>
        <v/>
      </c>
      <c r="I541" s="16" t="str">
        <f aca="false">IF($A541&gt;PARAMETROS!$C$33,"",G541-H541)</f>
        <v/>
      </c>
      <c r="J541" s="16" t="str">
        <f aca="false">IF($A541&gt;PARAMETROS!$C$33,"",PARAMETROS!$C$9*(1+PARAMETROS!$C$17)^(B541-1))</f>
        <v/>
      </c>
      <c r="K541" s="16" t="str">
        <f aca="false">IF($A541&gt;PARAMETROS!$C$33,"",K540*(1+PARAMETROS!$C$36))</f>
        <v/>
      </c>
      <c r="L541" s="16" t="str">
        <f aca="false">IF($A541&gt;PARAMETROS!$C$33,"",L540*(1+PARAMETROS!$C$37)*(1+M541))</f>
        <v/>
      </c>
      <c r="M541" s="17" t="str">
        <f aca="false">IF($A541&gt;PARAMETROS!$C$33,"",IF(C541&lt;70,PARAMETROS!$C$40,IF(C541&lt;75,PARAMETROS!$C$41,IF(C541&lt;80,PARAMETROS!$C$42,IF(C541&lt;85,PARAMETROS!$C$43,IF(C541&lt;90,PARAMETROS!$C$44,PARAMETROS!$C$45))))))</f>
        <v/>
      </c>
      <c r="N541" s="16" t="str">
        <f aca="false">IF($A541&gt;PARAMETROS!$C$33,"",K541+L541)</f>
        <v/>
      </c>
      <c r="O541" s="16" t="str">
        <f aca="false">IF($A541&gt;PARAMETROS!$C$33,"",I541+J541-N541)</f>
        <v/>
      </c>
      <c r="P541" s="16" t="str">
        <f aca="false">IF($A541&gt;PARAMETROS!$C$33,"",MAX(E541+I541+J541-N541,0))</f>
        <v/>
      </c>
      <c r="Q541" s="18" t="str">
        <f aca="false">IF($A541&gt;PARAMETROS!$C$33,"",IF(P541&lt;=0,"AGOTADO","OK"))</f>
        <v/>
      </c>
    </row>
    <row r="542" customFormat="false" ht="15" hidden="false" customHeight="false" outlineLevel="0" collapsed="false">
      <c r="A542" s="15" t="n">
        <f aca="false">A541+1</f>
        <v>540</v>
      </c>
      <c r="B542" s="15" t="n">
        <f aca="false">IF($A542="","",ROUNDUP($A542/12,0))</f>
        <v>45</v>
      </c>
      <c r="C542" s="15" t="n">
        <f aca="false">IF($A542="","",PARAMETROS!$C$6+INT(($A542-1)/12))</f>
        <v>109</v>
      </c>
      <c r="D542" s="15" t="n">
        <f aca="false">IF($A542="","",MOD($A542-1,12)+1)</f>
        <v>12</v>
      </c>
      <c r="E542" s="16" t="str">
        <f aca="false">IF($A542&gt;PARAMETROS!$C$33,"",P541)</f>
        <v/>
      </c>
      <c r="F542" s="17" t="str">
        <f aca="false">IF($A542&gt;PARAMETROS!$C$33,"",PARAMETROS!$C$38)</f>
        <v/>
      </c>
      <c r="G542" s="16" t="str">
        <f aca="false">IF($A542&gt;PARAMETROS!$C$33,"",E542*F542)</f>
        <v/>
      </c>
      <c r="H542" s="16" t="str">
        <f aca="false">IF($A542&gt;PARAMETROS!$C$33,"",E542*PARAMETROS!$C$39)</f>
        <v/>
      </c>
      <c r="I542" s="16" t="str">
        <f aca="false">IF($A542&gt;PARAMETROS!$C$33,"",G542-H542)</f>
        <v/>
      </c>
      <c r="J542" s="16" t="str">
        <f aca="false">IF($A542&gt;PARAMETROS!$C$33,"",PARAMETROS!$C$9*(1+PARAMETROS!$C$17)^(B542-1))</f>
        <v/>
      </c>
      <c r="K542" s="16" t="str">
        <f aca="false">IF($A542&gt;PARAMETROS!$C$33,"",K541*(1+PARAMETROS!$C$36))</f>
        <v/>
      </c>
      <c r="L542" s="16" t="str">
        <f aca="false">IF($A542&gt;PARAMETROS!$C$33,"",L541*(1+PARAMETROS!$C$37)*(1+M542))</f>
        <v/>
      </c>
      <c r="M542" s="17" t="str">
        <f aca="false">IF($A542&gt;PARAMETROS!$C$33,"",IF(C542&lt;70,PARAMETROS!$C$40,IF(C542&lt;75,PARAMETROS!$C$41,IF(C542&lt;80,PARAMETROS!$C$42,IF(C542&lt;85,PARAMETROS!$C$43,IF(C542&lt;90,PARAMETROS!$C$44,PARAMETROS!$C$45))))))</f>
        <v/>
      </c>
      <c r="N542" s="16" t="str">
        <f aca="false">IF($A542&gt;PARAMETROS!$C$33,"",K542+L542)</f>
        <v/>
      </c>
      <c r="O542" s="16" t="str">
        <f aca="false">IF($A542&gt;PARAMETROS!$C$33,"",I542+J542-N542)</f>
        <v/>
      </c>
      <c r="P542" s="16" t="str">
        <f aca="false">IF($A542&gt;PARAMETROS!$C$33,"",MAX(E542+I542+J542-N542,0))</f>
        <v/>
      </c>
      <c r="Q542" s="18" t="str">
        <f aca="false">IF($A542&gt;PARAMETROS!$C$33,"",IF(P542&lt;=0,"AGOTADO","OK"))</f>
        <v/>
      </c>
    </row>
    <row r="543" customFormat="false" ht="15" hidden="false" customHeight="false" outlineLevel="0" collapsed="false">
      <c r="A543" s="19" t="n">
        <f aca="false">A542+1</f>
        <v>541</v>
      </c>
      <c r="B543" s="19" t="n">
        <f aca="false">IF($A543="","",ROUNDUP($A543/12,0))</f>
        <v>46</v>
      </c>
      <c r="C543" s="19" t="n">
        <f aca="false">IF($A543="","",PARAMETROS!$C$6+INT(($A543-1)/12))</f>
        <v>110</v>
      </c>
      <c r="D543" s="19" t="n">
        <f aca="false">IF($A543="","",MOD($A543-1,12)+1)</f>
        <v>1</v>
      </c>
      <c r="E543" s="20" t="str">
        <f aca="false">IF($A543&gt;PARAMETROS!$C$33,"",P542)</f>
        <v/>
      </c>
      <c r="F543" s="21" t="str">
        <f aca="false">IF($A543&gt;PARAMETROS!$C$33,"",PARAMETROS!$C$38)</f>
        <v/>
      </c>
      <c r="G543" s="20" t="str">
        <f aca="false">IF($A543&gt;PARAMETROS!$C$33,"",E543*F543)</f>
        <v/>
      </c>
      <c r="H543" s="20" t="str">
        <f aca="false">IF($A543&gt;PARAMETROS!$C$33,"",E543*PARAMETROS!$C$39)</f>
        <v/>
      </c>
      <c r="I543" s="20" t="str">
        <f aca="false">IF($A543&gt;PARAMETROS!$C$33,"",G543-H543)</f>
        <v/>
      </c>
      <c r="J543" s="20" t="str">
        <f aca="false">IF($A543&gt;PARAMETROS!$C$33,"",PARAMETROS!$C$9*(1+PARAMETROS!$C$17)^(B543-1))</f>
        <v/>
      </c>
      <c r="K543" s="20" t="str">
        <f aca="false">IF($A543&gt;PARAMETROS!$C$33,"",K542*(1+PARAMETROS!$C$36))</f>
        <v/>
      </c>
      <c r="L543" s="20" t="str">
        <f aca="false">IF($A543&gt;PARAMETROS!$C$33,"",L542*(1+PARAMETROS!$C$37)*(1+M543))</f>
        <v/>
      </c>
      <c r="M543" s="21" t="str">
        <f aca="false">IF($A543&gt;PARAMETROS!$C$33,"",IF(C543&lt;70,PARAMETROS!$C$40,IF(C543&lt;75,PARAMETROS!$C$41,IF(C543&lt;80,PARAMETROS!$C$42,IF(C543&lt;85,PARAMETROS!$C$43,IF(C543&lt;90,PARAMETROS!$C$44,PARAMETROS!$C$45))))))</f>
        <v/>
      </c>
      <c r="N543" s="20" t="str">
        <f aca="false">IF($A543&gt;PARAMETROS!$C$33,"",K543+L543)</f>
        <v/>
      </c>
      <c r="O543" s="20" t="str">
        <f aca="false">IF($A543&gt;PARAMETROS!$C$33,"",I543+J543-N543)</f>
        <v/>
      </c>
      <c r="P543" s="20" t="str">
        <f aca="false">IF($A543&gt;PARAMETROS!$C$33,"",MAX(E543+I543+J543-N543,0))</f>
        <v/>
      </c>
      <c r="Q543" s="22" t="str">
        <f aca="false">IF($A543&gt;PARAMETROS!$C$33,"",IF(P543&lt;=0,"AGOTADO","OK"))</f>
        <v/>
      </c>
    </row>
    <row r="544" customFormat="false" ht="15" hidden="false" customHeight="false" outlineLevel="0" collapsed="false">
      <c r="A544" s="19" t="n">
        <f aca="false">A543+1</f>
        <v>542</v>
      </c>
      <c r="B544" s="19" t="n">
        <f aca="false">IF($A544="","",ROUNDUP($A544/12,0))</f>
        <v>46</v>
      </c>
      <c r="C544" s="19" t="n">
        <f aca="false">IF($A544="","",PARAMETROS!$C$6+INT(($A544-1)/12))</f>
        <v>110</v>
      </c>
      <c r="D544" s="19" t="n">
        <f aca="false">IF($A544="","",MOD($A544-1,12)+1)</f>
        <v>2</v>
      </c>
      <c r="E544" s="20" t="str">
        <f aca="false">IF($A544&gt;PARAMETROS!$C$33,"",P543)</f>
        <v/>
      </c>
      <c r="F544" s="21" t="str">
        <f aca="false">IF($A544&gt;PARAMETROS!$C$33,"",PARAMETROS!$C$38)</f>
        <v/>
      </c>
      <c r="G544" s="20" t="str">
        <f aca="false">IF($A544&gt;PARAMETROS!$C$33,"",E544*F544)</f>
        <v/>
      </c>
      <c r="H544" s="20" t="str">
        <f aca="false">IF($A544&gt;PARAMETROS!$C$33,"",E544*PARAMETROS!$C$39)</f>
        <v/>
      </c>
      <c r="I544" s="20" t="str">
        <f aca="false">IF($A544&gt;PARAMETROS!$C$33,"",G544-H544)</f>
        <v/>
      </c>
      <c r="J544" s="20" t="str">
        <f aca="false">IF($A544&gt;PARAMETROS!$C$33,"",PARAMETROS!$C$9*(1+PARAMETROS!$C$17)^(B544-1))</f>
        <v/>
      </c>
      <c r="K544" s="20" t="str">
        <f aca="false">IF($A544&gt;PARAMETROS!$C$33,"",K543*(1+PARAMETROS!$C$36))</f>
        <v/>
      </c>
      <c r="L544" s="20" t="str">
        <f aca="false">IF($A544&gt;PARAMETROS!$C$33,"",L543*(1+PARAMETROS!$C$37)*(1+M544))</f>
        <v/>
      </c>
      <c r="M544" s="21" t="str">
        <f aca="false">IF($A544&gt;PARAMETROS!$C$33,"",IF(C544&lt;70,PARAMETROS!$C$40,IF(C544&lt;75,PARAMETROS!$C$41,IF(C544&lt;80,PARAMETROS!$C$42,IF(C544&lt;85,PARAMETROS!$C$43,IF(C544&lt;90,PARAMETROS!$C$44,PARAMETROS!$C$45))))))</f>
        <v/>
      </c>
      <c r="N544" s="20" t="str">
        <f aca="false">IF($A544&gt;PARAMETROS!$C$33,"",K544+L544)</f>
        <v/>
      </c>
      <c r="O544" s="20" t="str">
        <f aca="false">IF($A544&gt;PARAMETROS!$C$33,"",I544+J544-N544)</f>
        <v/>
      </c>
      <c r="P544" s="20" t="str">
        <f aca="false">IF($A544&gt;PARAMETROS!$C$33,"",MAX(E544+I544+J544-N544,0))</f>
        <v/>
      </c>
      <c r="Q544" s="22" t="str">
        <f aca="false">IF($A544&gt;PARAMETROS!$C$33,"",IF(P544&lt;=0,"AGOTADO","OK"))</f>
        <v/>
      </c>
    </row>
    <row r="545" customFormat="false" ht="15" hidden="false" customHeight="false" outlineLevel="0" collapsed="false">
      <c r="A545" s="19" t="n">
        <f aca="false">A544+1</f>
        <v>543</v>
      </c>
      <c r="B545" s="19" t="n">
        <f aca="false">IF($A545="","",ROUNDUP($A545/12,0))</f>
        <v>46</v>
      </c>
      <c r="C545" s="19" t="n">
        <f aca="false">IF($A545="","",PARAMETROS!$C$6+INT(($A545-1)/12))</f>
        <v>110</v>
      </c>
      <c r="D545" s="19" t="n">
        <f aca="false">IF($A545="","",MOD($A545-1,12)+1)</f>
        <v>3</v>
      </c>
      <c r="E545" s="20" t="str">
        <f aca="false">IF($A545&gt;PARAMETROS!$C$33,"",P544)</f>
        <v/>
      </c>
      <c r="F545" s="21" t="str">
        <f aca="false">IF($A545&gt;PARAMETROS!$C$33,"",PARAMETROS!$C$38)</f>
        <v/>
      </c>
      <c r="G545" s="20" t="str">
        <f aca="false">IF($A545&gt;PARAMETROS!$C$33,"",E545*F545)</f>
        <v/>
      </c>
      <c r="H545" s="20" t="str">
        <f aca="false">IF($A545&gt;PARAMETROS!$C$33,"",E545*PARAMETROS!$C$39)</f>
        <v/>
      </c>
      <c r="I545" s="20" t="str">
        <f aca="false">IF($A545&gt;PARAMETROS!$C$33,"",G545-H545)</f>
        <v/>
      </c>
      <c r="J545" s="20" t="str">
        <f aca="false">IF($A545&gt;PARAMETROS!$C$33,"",PARAMETROS!$C$9*(1+PARAMETROS!$C$17)^(B545-1))</f>
        <v/>
      </c>
      <c r="K545" s="20" t="str">
        <f aca="false">IF($A545&gt;PARAMETROS!$C$33,"",K544*(1+PARAMETROS!$C$36))</f>
        <v/>
      </c>
      <c r="L545" s="20" t="str">
        <f aca="false">IF($A545&gt;PARAMETROS!$C$33,"",L544*(1+PARAMETROS!$C$37)*(1+M545))</f>
        <v/>
      </c>
      <c r="M545" s="21" t="str">
        <f aca="false">IF($A545&gt;PARAMETROS!$C$33,"",IF(C545&lt;70,PARAMETROS!$C$40,IF(C545&lt;75,PARAMETROS!$C$41,IF(C545&lt;80,PARAMETROS!$C$42,IF(C545&lt;85,PARAMETROS!$C$43,IF(C545&lt;90,PARAMETROS!$C$44,PARAMETROS!$C$45))))))</f>
        <v/>
      </c>
      <c r="N545" s="20" t="str">
        <f aca="false">IF($A545&gt;PARAMETROS!$C$33,"",K545+L545)</f>
        <v/>
      </c>
      <c r="O545" s="20" t="str">
        <f aca="false">IF($A545&gt;PARAMETROS!$C$33,"",I545+J545-N545)</f>
        <v/>
      </c>
      <c r="P545" s="20" t="str">
        <f aca="false">IF($A545&gt;PARAMETROS!$C$33,"",MAX(E545+I545+J545-N545,0))</f>
        <v/>
      </c>
      <c r="Q545" s="22" t="str">
        <f aca="false">IF($A545&gt;PARAMETROS!$C$33,"",IF(P545&lt;=0,"AGOTADO","OK"))</f>
        <v/>
      </c>
    </row>
    <row r="546" customFormat="false" ht="15" hidden="false" customHeight="false" outlineLevel="0" collapsed="false">
      <c r="A546" s="19" t="n">
        <f aca="false">A545+1</f>
        <v>544</v>
      </c>
      <c r="B546" s="19" t="n">
        <f aca="false">IF($A546="","",ROUNDUP($A546/12,0))</f>
        <v>46</v>
      </c>
      <c r="C546" s="19" t="n">
        <f aca="false">IF($A546="","",PARAMETROS!$C$6+INT(($A546-1)/12))</f>
        <v>110</v>
      </c>
      <c r="D546" s="19" t="n">
        <f aca="false">IF($A546="","",MOD($A546-1,12)+1)</f>
        <v>4</v>
      </c>
      <c r="E546" s="20" t="str">
        <f aca="false">IF($A546&gt;PARAMETROS!$C$33,"",P545)</f>
        <v/>
      </c>
      <c r="F546" s="21" t="str">
        <f aca="false">IF($A546&gt;PARAMETROS!$C$33,"",PARAMETROS!$C$38)</f>
        <v/>
      </c>
      <c r="G546" s="20" t="str">
        <f aca="false">IF($A546&gt;PARAMETROS!$C$33,"",E546*F546)</f>
        <v/>
      </c>
      <c r="H546" s="20" t="str">
        <f aca="false">IF($A546&gt;PARAMETROS!$C$33,"",E546*PARAMETROS!$C$39)</f>
        <v/>
      </c>
      <c r="I546" s="20" t="str">
        <f aca="false">IF($A546&gt;PARAMETROS!$C$33,"",G546-H546)</f>
        <v/>
      </c>
      <c r="J546" s="20" t="str">
        <f aca="false">IF($A546&gt;PARAMETROS!$C$33,"",PARAMETROS!$C$9*(1+PARAMETROS!$C$17)^(B546-1))</f>
        <v/>
      </c>
      <c r="K546" s="20" t="str">
        <f aca="false">IF($A546&gt;PARAMETROS!$C$33,"",K545*(1+PARAMETROS!$C$36))</f>
        <v/>
      </c>
      <c r="L546" s="20" t="str">
        <f aca="false">IF($A546&gt;PARAMETROS!$C$33,"",L545*(1+PARAMETROS!$C$37)*(1+M546))</f>
        <v/>
      </c>
      <c r="M546" s="21" t="str">
        <f aca="false">IF($A546&gt;PARAMETROS!$C$33,"",IF(C546&lt;70,PARAMETROS!$C$40,IF(C546&lt;75,PARAMETROS!$C$41,IF(C546&lt;80,PARAMETROS!$C$42,IF(C546&lt;85,PARAMETROS!$C$43,IF(C546&lt;90,PARAMETROS!$C$44,PARAMETROS!$C$45))))))</f>
        <v/>
      </c>
      <c r="N546" s="20" t="str">
        <f aca="false">IF($A546&gt;PARAMETROS!$C$33,"",K546+L546)</f>
        <v/>
      </c>
      <c r="O546" s="20" t="str">
        <f aca="false">IF($A546&gt;PARAMETROS!$C$33,"",I546+J546-N546)</f>
        <v/>
      </c>
      <c r="P546" s="20" t="str">
        <f aca="false">IF($A546&gt;PARAMETROS!$C$33,"",MAX(E546+I546+J546-N546,0))</f>
        <v/>
      </c>
      <c r="Q546" s="22" t="str">
        <f aca="false">IF($A546&gt;PARAMETROS!$C$33,"",IF(P546&lt;=0,"AGOTADO","OK"))</f>
        <v/>
      </c>
    </row>
    <row r="547" customFormat="false" ht="15" hidden="false" customHeight="false" outlineLevel="0" collapsed="false">
      <c r="A547" s="19" t="n">
        <f aca="false">A546+1</f>
        <v>545</v>
      </c>
      <c r="B547" s="19" t="n">
        <f aca="false">IF($A547="","",ROUNDUP($A547/12,0))</f>
        <v>46</v>
      </c>
      <c r="C547" s="19" t="n">
        <f aca="false">IF($A547="","",PARAMETROS!$C$6+INT(($A547-1)/12))</f>
        <v>110</v>
      </c>
      <c r="D547" s="19" t="n">
        <f aca="false">IF($A547="","",MOD($A547-1,12)+1)</f>
        <v>5</v>
      </c>
      <c r="E547" s="20" t="str">
        <f aca="false">IF($A547&gt;PARAMETROS!$C$33,"",P546)</f>
        <v/>
      </c>
      <c r="F547" s="21" t="str">
        <f aca="false">IF($A547&gt;PARAMETROS!$C$33,"",PARAMETROS!$C$38)</f>
        <v/>
      </c>
      <c r="G547" s="20" t="str">
        <f aca="false">IF($A547&gt;PARAMETROS!$C$33,"",E547*F547)</f>
        <v/>
      </c>
      <c r="H547" s="20" t="str">
        <f aca="false">IF($A547&gt;PARAMETROS!$C$33,"",E547*PARAMETROS!$C$39)</f>
        <v/>
      </c>
      <c r="I547" s="20" t="str">
        <f aca="false">IF($A547&gt;PARAMETROS!$C$33,"",G547-H547)</f>
        <v/>
      </c>
      <c r="J547" s="20" t="str">
        <f aca="false">IF($A547&gt;PARAMETROS!$C$33,"",PARAMETROS!$C$9*(1+PARAMETROS!$C$17)^(B547-1))</f>
        <v/>
      </c>
      <c r="K547" s="20" t="str">
        <f aca="false">IF($A547&gt;PARAMETROS!$C$33,"",K546*(1+PARAMETROS!$C$36))</f>
        <v/>
      </c>
      <c r="L547" s="20" t="str">
        <f aca="false">IF($A547&gt;PARAMETROS!$C$33,"",L546*(1+PARAMETROS!$C$37)*(1+M547))</f>
        <v/>
      </c>
      <c r="M547" s="21" t="str">
        <f aca="false">IF($A547&gt;PARAMETROS!$C$33,"",IF(C547&lt;70,PARAMETROS!$C$40,IF(C547&lt;75,PARAMETROS!$C$41,IF(C547&lt;80,PARAMETROS!$C$42,IF(C547&lt;85,PARAMETROS!$C$43,IF(C547&lt;90,PARAMETROS!$C$44,PARAMETROS!$C$45))))))</f>
        <v/>
      </c>
      <c r="N547" s="20" t="str">
        <f aca="false">IF($A547&gt;PARAMETROS!$C$33,"",K547+L547)</f>
        <v/>
      </c>
      <c r="O547" s="20" t="str">
        <f aca="false">IF($A547&gt;PARAMETROS!$C$33,"",I547+J547-N547)</f>
        <v/>
      </c>
      <c r="P547" s="20" t="str">
        <f aca="false">IF($A547&gt;PARAMETROS!$C$33,"",MAX(E547+I547+J547-N547,0))</f>
        <v/>
      </c>
      <c r="Q547" s="22" t="str">
        <f aca="false">IF($A547&gt;PARAMETROS!$C$33,"",IF(P547&lt;=0,"AGOTADO","OK"))</f>
        <v/>
      </c>
    </row>
    <row r="548" customFormat="false" ht="15" hidden="false" customHeight="false" outlineLevel="0" collapsed="false">
      <c r="A548" s="19" t="n">
        <f aca="false">A547+1</f>
        <v>546</v>
      </c>
      <c r="B548" s="19" t="n">
        <f aca="false">IF($A548="","",ROUNDUP($A548/12,0))</f>
        <v>46</v>
      </c>
      <c r="C548" s="19" t="n">
        <f aca="false">IF($A548="","",PARAMETROS!$C$6+INT(($A548-1)/12))</f>
        <v>110</v>
      </c>
      <c r="D548" s="19" t="n">
        <f aca="false">IF($A548="","",MOD($A548-1,12)+1)</f>
        <v>6</v>
      </c>
      <c r="E548" s="20" t="str">
        <f aca="false">IF($A548&gt;PARAMETROS!$C$33,"",P547)</f>
        <v/>
      </c>
      <c r="F548" s="21" t="str">
        <f aca="false">IF($A548&gt;PARAMETROS!$C$33,"",PARAMETROS!$C$38)</f>
        <v/>
      </c>
      <c r="G548" s="20" t="str">
        <f aca="false">IF($A548&gt;PARAMETROS!$C$33,"",E548*F548)</f>
        <v/>
      </c>
      <c r="H548" s="20" t="str">
        <f aca="false">IF($A548&gt;PARAMETROS!$C$33,"",E548*PARAMETROS!$C$39)</f>
        <v/>
      </c>
      <c r="I548" s="20" t="str">
        <f aca="false">IF($A548&gt;PARAMETROS!$C$33,"",G548-H548)</f>
        <v/>
      </c>
      <c r="J548" s="20" t="str">
        <f aca="false">IF($A548&gt;PARAMETROS!$C$33,"",PARAMETROS!$C$9*(1+PARAMETROS!$C$17)^(B548-1))</f>
        <v/>
      </c>
      <c r="K548" s="20" t="str">
        <f aca="false">IF($A548&gt;PARAMETROS!$C$33,"",K547*(1+PARAMETROS!$C$36))</f>
        <v/>
      </c>
      <c r="L548" s="20" t="str">
        <f aca="false">IF($A548&gt;PARAMETROS!$C$33,"",L547*(1+PARAMETROS!$C$37)*(1+M548))</f>
        <v/>
      </c>
      <c r="M548" s="21" t="str">
        <f aca="false">IF($A548&gt;PARAMETROS!$C$33,"",IF(C548&lt;70,PARAMETROS!$C$40,IF(C548&lt;75,PARAMETROS!$C$41,IF(C548&lt;80,PARAMETROS!$C$42,IF(C548&lt;85,PARAMETROS!$C$43,IF(C548&lt;90,PARAMETROS!$C$44,PARAMETROS!$C$45))))))</f>
        <v/>
      </c>
      <c r="N548" s="20" t="str">
        <f aca="false">IF($A548&gt;PARAMETROS!$C$33,"",K548+L548)</f>
        <v/>
      </c>
      <c r="O548" s="20" t="str">
        <f aca="false">IF($A548&gt;PARAMETROS!$C$33,"",I548+J548-N548)</f>
        <v/>
      </c>
      <c r="P548" s="20" t="str">
        <f aca="false">IF($A548&gt;PARAMETROS!$C$33,"",MAX(E548+I548+J548-N548,0))</f>
        <v/>
      </c>
      <c r="Q548" s="22" t="str">
        <f aca="false">IF($A548&gt;PARAMETROS!$C$33,"",IF(P548&lt;=0,"AGOTADO","OK"))</f>
        <v/>
      </c>
    </row>
    <row r="549" customFormat="false" ht="15" hidden="false" customHeight="false" outlineLevel="0" collapsed="false">
      <c r="A549" s="19" t="n">
        <f aca="false">A548+1</f>
        <v>547</v>
      </c>
      <c r="B549" s="19" t="n">
        <f aca="false">IF($A549="","",ROUNDUP($A549/12,0))</f>
        <v>46</v>
      </c>
      <c r="C549" s="19" t="n">
        <f aca="false">IF($A549="","",PARAMETROS!$C$6+INT(($A549-1)/12))</f>
        <v>110</v>
      </c>
      <c r="D549" s="19" t="n">
        <f aca="false">IF($A549="","",MOD($A549-1,12)+1)</f>
        <v>7</v>
      </c>
      <c r="E549" s="20" t="str">
        <f aca="false">IF($A549&gt;PARAMETROS!$C$33,"",P548)</f>
        <v/>
      </c>
      <c r="F549" s="21" t="str">
        <f aca="false">IF($A549&gt;PARAMETROS!$C$33,"",PARAMETROS!$C$38)</f>
        <v/>
      </c>
      <c r="G549" s="20" t="str">
        <f aca="false">IF($A549&gt;PARAMETROS!$C$33,"",E549*F549)</f>
        <v/>
      </c>
      <c r="H549" s="20" t="str">
        <f aca="false">IF($A549&gt;PARAMETROS!$C$33,"",E549*PARAMETROS!$C$39)</f>
        <v/>
      </c>
      <c r="I549" s="20" t="str">
        <f aca="false">IF($A549&gt;PARAMETROS!$C$33,"",G549-H549)</f>
        <v/>
      </c>
      <c r="J549" s="20" t="str">
        <f aca="false">IF($A549&gt;PARAMETROS!$C$33,"",PARAMETROS!$C$9*(1+PARAMETROS!$C$17)^(B549-1))</f>
        <v/>
      </c>
      <c r="K549" s="20" t="str">
        <f aca="false">IF($A549&gt;PARAMETROS!$C$33,"",K548*(1+PARAMETROS!$C$36))</f>
        <v/>
      </c>
      <c r="L549" s="20" t="str">
        <f aca="false">IF($A549&gt;PARAMETROS!$C$33,"",L548*(1+PARAMETROS!$C$37)*(1+M549))</f>
        <v/>
      </c>
      <c r="M549" s="21" t="str">
        <f aca="false">IF($A549&gt;PARAMETROS!$C$33,"",IF(C549&lt;70,PARAMETROS!$C$40,IF(C549&lt;75,PARAMETROS!$C$41,IF(C549&lt;80,PARAMETROS!$C$42,IF(C549&lt;85,PARAMETROS!$C$43,IF(C549&lt;90,PARAMETROS!$C$44,PARAMETROS!$C$45))))))</f>
        <v/>
      </c>
      <c r="N549" s="20" t="str">
        <f aca="false">IF($A549&gt;PARAMETROS!$C$33,"",K549+L549)</f>
        <v/>
      </c>
      <c r="O549" s="20" t="str">
        <f aca="false">IF($A549&gt;PARAMETROS!$C$33,"",I549+J549-N549)</f>
        <v/>
      </c>
      <c r="P549" s="20" t="str">
        <f aca="false">IF($A549&gt;PARAMETROS!$C$33,"",MAX(E549+I549+J549-N549,0))</f>
        <v/>
      </c>
      <c r="Q549" s="22" t="str">
        <f aca="false">IF($A549&gt;PARAMETROS!$C$33,"",IF(P549&lt;=0,"AGOTADO","OK"))</f>
        <v/>
      </c>
    </row>
    <row r="550" customFormat="false" ht="15" hidden="false" customHeight="false" outlineLevel="0" collapsed="false">
      <c r="A550" s="19" t="n">
        <f aca="false">A549+1</f>
        <v>548</v>
      </c>
      <c r="B550" s="19" t="n">
        <f aca="false">IF($A550="","",ROUNDUP($A550/12,0))</f>
        <v>46</v>
      </c>
      <c r="C550" s="19" t="n">
        <f aca="false">IF($A550="","",PARAMETROS!$C$6+INT(($A550-1)/12))</f>
        <v>110</v>
      </c>
      <c r="D550" s="19" t="n">
        <f aca="false">IF($A550="","",MOD($A550-1,12)+1)</f>
        <v>8</v>
      </c>
      <c r="E550" s="20" t="str">
        <f aca="false">IF($A550&gt;PARAMETROS!$C$33,"",P549)</f>
        <v/>
      </c>
      <c r="F550" s="21" t="str">
        <f aca="false">IF($A550&gt;PARAMETROS!$C$33,"",PARAMETROS!$C$38)</f>
        <v/>
      </c>
      <c r="G550" s="20" t="str">
        <f aca="false">IF($A550&gt;PARAMETROS!$C$33,"",E550*F550)</f>
        <v/>
      </c>
      <c r="H550" s="20" t="str">
        <f aca="false">IF($A550&gt;PARAMETROS!$C$33,"",E550*PARAMETROS!$C$39)</f>
        <v/>
      </c>
      <c r="I550" s="20" t="str">
        <f aca="false">IF($A550&gt;PARAMETROS!$C$33,"",G550-H550)</f>
        <v/>
      </c>
      <c r="J550" s="20" t="str">
        <f aca="false">IF($A550&gt;PARAMETROS!$C$33,"",PARAMETROS!$C$9*(1+PARAMETROS!$C$17)^(B550-1))</f>
        <v/>
      </c>
      <c r="K550" s="20" t="str">
        <f aca="false">IF($A550&gt;PARAMETROS!$C$33,"",K549*(1+PARAMETROS!$C$36))</f>
        <v/>
      </c>
      <c r="L550" s="20" t="str">
        <f aca="false">IF($A550&gt;PARAMETROS!$C$33,"",L549*(1+PARAMETROS!$C$37)*(1+M550))</f>
        <v/>
      </c>
      <c r="M550" s="21" t="str">
        <f aca="false">IF($A550&gt;PARAMETROS!$C$33,"",IF(C550&lt;70,PARAMETROS!$C$40,IF(C550&lt;75,PARAMETROS!$C$41,IF(C550&lt;80,PARAMETROS!$C$42,IF(C550&lt;85,PARAMETROS!$C$43,IF(C550&lt;90,PARAMETROS!$C$44,PARAMETROS!$C$45))))))</f>
        <v/>
      </c>
      <c r="N550" s="20" t="str">
        <f aca="false">IF($A550&gt;PARAMETROS!$C$33,"",K550+L550)</f>
        <v/>
      </c>
      <c r="O550" s="20" t="str">
        <f aca="false">IF($A550&gt;PARAMETROS!$C$33,"",I550+J550-N550)</f>
        <v/>
      </c>
      <c r="P550" s="20" t="str">
        <f aca="false">IF($A550&gt;PARAMETROS!$C$33,"",MAX(E550+I550+J550-N550,0))</f>
        <v/>
      </c>
      <c r="Q550" s="22" t="str">
        <f aca="false">IF($A550&gt;PARAMETROS!$C$33,"",IF(P550&lt;=0,"AGOTADO","OK"))</f>
        <v/>
      </c>
    </row>
    <row r="551" customFormat="false" ht="15" hidden="false" customHeight="false" outlineLevel="0" collapsed="false">
      <c r="A551" s="19" t="n">
        <f aca="false">A550+1</f>
        <v>549</v>
      </c>
      <c r="B551" s="19" t="n">
        <f aca="false">IF($A551="","",ROUNDUP($A551/12,0))</f>
        <v>46</v>
      </c>
      <c r="C551" s="19" t="n">
        <f aca="false">IF($A551="","",PARAMETROS!$C$6+INT(($A551-1)/12))</f>
        <v>110</v>
      </c>
      <c r="D551" s="19" t="n">
        <f aca="false">IF($A551="","",MOD($A551-1,12)+1)</f>
        <v>9</v>
      </c>
      <c r="E551" s="20" t="str">
        <f aca="false">IF($A551&gt;PARAMETROS!$C$33,"",P550)</f>
        <v/>
      </c>
      <c r="F551" s="21" t="str">
        <f aca="false">IF($A551&gt;PARAMETROS!$C$33,"",PARAMETROS!$C$38)</f>
        <v/>
      </c>
      <c r="G551" s="20" t="str">
        <f aca="false">IF($A551&gt;PARAMETROS!$C$33,"",E551*F551)</f>
        <v/>
      </c>
      <c r="H551" s="20" t="str">
        <f aca="false">IF($A551&gt;PARAMETROS!$C$33,"",E551*PARAMETROS!$C$39)</f>
        <v/>
      </c>
      <c r="I551" s="20" t="str">
        <f aca="false">IF($A551&gt;PARAMETROS!$C$33,"",G551-H551)</f>
        <v/>
      </c>
      <c r="J551" s="20" t="str">
        <f aca="false">IF($A551&gt;PARAMETROS!$C$33,"",PARAMETROS!$C$9*(1+PARAMETROS!$C$17)^(B551-1))</f>
        <v/>
      </c>
      <c r="K551" s="20" t="str">
        <f aca="false">IF($A551&gt;PARAMETROS!$C$33,"",K550*(1+PARAMETROS!$C$36))</f>
        <v/>
      </c>
      <c r="L551" s="20" t="str">
        <f aca="false">IF($A551&gt;PARAMETROS!$C$33,"",L550*(1+PARAMETROS!$C$37)*(1+M551))</f>
        <v/>
      </c>
      <c r="M551" s="21" t="str">
        <f aca="false">IF($A551&gt;PARAMETROS!$C$33,"",IF(C551&lt;70,PARAMETROS!$C$40,IF(C551&lt;75,PARAMETROS!$C$41,IF(C551&lt;80,PARAMETROS!$C$42,IF(C551&lt;85,PARAMETROS!$C$43,IF(C551&lt;90,PARAMETROS!$C$44,PARAMETROS!$C$45))))))</f>
        <v/>
      </c>
      <c r="N551" s="20" t="str">
        <f aca="false">IF($A551&gt;PARAMETROS!$C$33,"",K551+L551)</f>
        <v/>
      </c>
      <c r="O551" s="20" t="str">
        <f aca="false">IF($A551&gt;PARAMETROS!$C$33,"",I551+J551-N551)</f>
        <v/>
      </c>
      <c r="P551" s="20" t="str">
        <f aca="false">IF($A551&gt;PARAMETROS!$C$33,"",MAX(E551+I551+J551-N551,0))</f>
        <v/>
      </c>
      <c r="Q551" s="22" t="str">
        <f aca="false">IF($A551&gt;PARAMETROS!$C$33,"",IF(P551&lt;=0,"AGOTADO","OK"))</f>
        <v/>
      </c>
    </row>
    <row r="552" customFormat="false" ht="15" hidden="false" customHeight="false" outlineLevel="0" collapsed="false">
      <c r="A552" s="19" t="n">
        <f aca="false">A551+1</f>
        <v>550</v>
      </c>
      <c r="B552" s="19" t="n">
        <f aca="false">IF($A552="","",ROUNDUP($A552/12,0))</f>
        <v>46</v>
      </c>
      <c r="C552" s="19" t="n">
        <f aca="false">IF($A552="","",PARAMETROS!$C$6+INT(($A552-1)/12))</f>
        <v>110</v>
      </c>
      <c r="D552" s="19" t="n">
        <f aca="false">IF($A552="","",MOD($A552-1,12)+1)</f>
        <v>10</v>
      </c>
      <c r="E552" s="20" t="str">
        <f aca="false">IF($A552&gt;PARAMETROS!$C$33,"",P551)</f>
        <v/>
      </c>
      <c r="F552" s="21" t="str">
        <f aca="false">IF($A552&gt;PARAMETROS!$C$33,"",PARAMETROS!$C$38)</f>
        <v/>
      </c>
      <c r="G552" s="20" t="str">
        <f aca="false">IF($A552&gt;PARAMETROS!$C$33,"",E552*F552)</f>
        <v/>
      </c>
      <c r="H552" s="20" t="str">
        <f aca="false">IF($A552&gt;PARAMETROS!$C$33,"",E552*PARAMETROS!$C$39)</f>
        <v/>
      </c>
      <c r="I552" s="20" t="str">
        <f aca="false">IF($A552&gt;PARAMETROS!$C$33,"",G552-H552)</f>
        <v/>
      </c>
      <c r="J552" s="20" t="str">
        <f aca="false">IF($A552&gt;PARAMETROS!$C$33,"",PARAMETROS!$C$9*(1+PARAMETROS!$C$17)^(B552-1))</f>
        <v/>
      </c>
      <c r="K552" s="20" t="str">
        <f aca="false">IF($A552&gt;PARAMETROS!$C$33,"",K551*(1+PARAMETROS!$C$36))</f>
        <v/>
      </c>
      <c r="L552" s="20" t="str">
        <f aca="false">IF($A552&gt;PARAMETROS!$C$33,"",L551*(1+PARAMETROS!$C$37)*(1+M552))</f>
        <v/>
      </c>
      <c r="M552" s="21" t="str">
        <f aca="false">IF($A552&gt;PARAMETROS!$C$33,"",IF(C552&lt;70,PARAMETROS!$C$40,IF(C552&lt;75,PARAMETROS!$C$41,IF(C552&lt;80,PARAMETROS!$C$42,IF(C552&lt;85,PARAMETROS!$C$43,IF(C552&lt;90,PARAMETROS!$C$44,PARAMETROS!$C$45))))))</f>
        <v/>
      </c>
      <c r="N552" s="20" t="str">
        <f aca="false">IF($A552&gt;PARAMETROS!$C$33,"",K552+L552)</f>
        <v/>
      </c>
      <c r="O552" s="20" t="str">
        <f aca="false">IF($A552&gt;PARAMETROS!$C$33,"",I552+J552-N552)</f>
        <v/>
      </c>
      <c r="P552" s="20" t="str">
        <f aca="false">IF($A552&gt;PARAMETROS!$C$33,"",MAX(E552+I552+J552-N552,0))</f>
        <v/>
      </c>
      <c r="Q552" s="22" t="str">
        <f aca="false">IF($A552&gt;PARAMETROS!$C$33,"",IF(P552&lt;=0,"AGOTADO","OK"))</f>
        <v/>
      </c>
    </row>
    <row r="553" customFormat="false" ht="15" hidden="false" customHeight="false" outlineLevel="0" collapsed="false">
      <c r="A553" s="19" t="n">
        <f aca="false">A552+1</f>
        <v>551</v>
      </c>
      <c r="B553" s="19" t="n">
        <f aca="false">IF($A553="","",ROUNDUP($A553/12,0))</f>
        <v>46</v>
      </c>
      <c r="C553" s="19" t="n">
        <f aca="false">IF($A553="","",PARAMETROS!$C$6+INT(($A553-1)/12))</f>
        <v>110</v>
      </c>
      <c r="D553" s="19" t="n">
        <f aca="false">IF($A553="","",MOD($A553-1,12)+1)</f>
        <v>11</v>
      </c>
      <c r="E553" s="20" t="str">
        <f aca="false">IF($A553&gt;PARAMETROS!$C$33,"",P552)</f>
        <v/>
      </c>
      <c r="F553" s="21" t="str">
        <f aca="false">IF($A553&gt;PARAMETROS!$C$33,"",PARAMETROS!$C$38)</f>
        <v/>
      </c>
      <c r="G553" s="20" t="str">
        <f aca="false">IF($A553&gt;PARAMETROS!$C$33,"",E553*F553)</f>
        <v/>
      </c>
      <c r="H553" s="20" t="str">
        <f aca="false">IF($A553&gt;PARAMETROS!$C$33,"",E553*PARAMETROS!$C$39)</f>
        <v/>
      </c>
      <c r="I553" s="20" t="str">
        <f aca="false">IF($A553&gt;PARAMETROS!$C$33,"",G553-H553)</f>
        <v/>
      </c>
      <c r="J553" s="20" t="str">
        <f aca="false">IF($A553&gt;PARAMETROS!$C$33,"",PARAMETROS!$C$9*(1+PARAMETROS!$C$17)^(B553-1))</f>
        <v/>
      </c>
      <c r="K553" s="20" t="str">
        <f aca="false">IF($A553&gt;PARAMETROS!$C$33,"",K552*(1+PARAMETROS!$C$36))</f>
        <v/>
      </c>
      <c r="L553" s="20" t="str">
        <f aca="false">IF($A553&gt;PARAMETROS!$C$33,"",L552*(1+PARAMETROS!$C$37)*(1+M553))</f>
        <v/>
      </c>
      <c r="M553" s="21" t="str">
        <f aca="false">IF($A553&gt;PARAMETROS!$C$33,"",IF(C553&lt;70,PARAMETROS!$C$40,IF(C553&lt;75,PARAMETROS!$C$41,IF(C553&lt;80,PARAMETROS!$C$42,IF(C553&lt;85,PARAMETROS!$C$43,IF(C553&lt;90,PARAMETROS!$C$44,PARAMETROS!$C$45))))))</f>
        <v/>
      </c>
      <c r="N553" s="20" t="str">
        <f aca="false">IF($A553&gt;PARAMETROS!$C$33,"",K553+L553)</f>
        <v/>
      </c>
      <c r="O553" s="20" t="str">
        <f aca="false">IF($A553&gt;PARAMETROS!$C$33,"",I553+J553-N553)</f>
        <v/>
      </c>
      <c r="P553" s="20" t="str">
        <f aca="false">IF($A553&gt;PARAMETROS!$C$33,"",MAX(E553+I553+J553-N553,0))</f>
        <v/>
      </c>
      <c r="Q553" s="22" t="str">
        <f aca="false">IF($A553&gt;PARAMETROS!$C$33,"",IF(P553&lt;=0,"AGOTADO","OK"))</f>
        <v/>
      </c>
    </row>
    <row r="554" customFormat="false" ht="15" hidden="false" customHeight="false" outlineLevel="0" collapsed="false">
      <c r="A554" s="19" t="n">
        <f aca="false">A553+1</f>
        <v>552</v>
      </c>
      <c r="B554" s="19" t="n">
        <f aca="false">IF($A554="","",ROUNDUP($A554/12,0))</f>
        <v>46</v>
      </c>
      <c r="C554" s="19" t="n">
        <f aca="false">IF($A554="","",PARAMETROS!$C$6+INT(($A554-1)/12))</f>
        <v>110</v>
      </c>
      <c r="D554" s="19" t="n">
        <f aca="false">IF($A554="","",MOD($A554-1,12)+1)</f>
        <v>12</v>
      </c>
      <c r="E554" s="20" t="str">
        <f aca="false">IF($A554&gt;PARAMETROS!$C$33,"",P553)</f>
        <v/>
      </c>
      <c r="F554" s="21" t="str">
        <f aca="false">IF($A554&gt;PARAMETROS!$C$33,"",PARAMETROS!$C$38)</f>
        <v/>
      </c>
      <c r="G554" s="20" t="str">
        <f aca="false">IF($A554&gt;PARAMETROS!$C$33,"",E554*F554)</f>
        <v/>
      </c>
      <c r="H554" s="20" t="str">
        <f aca="false">IF($A554&gt;PARAMETROS!$C$33,"",E554*PARAMETROS!$C$39)</f>
        <v/>
      </c>
      <c r="I554" s="20" t="str">
        <f aca="false">IF($A554&gt;PARAMETROS!$C$33,"",G554-H554)</f>
        <v/>
      </c>
      <c r="J554" s="20" t="str">
        <f aca="false">IF($A554&gt;PARAMETROS!$C$33,"",PARAMETROS!$C$9*(1+PARAMETROS!$C$17)^(B554-1))</f>
        <v/>
      </c>
      <c r="K554" s="20" t="str">
        <f aca="false">IF($A554&gt;PARAMETROS!$C$33,"",K553*(1+PARAMETROS!$C$36))</f>
        <v/>
      </c>
      <c r="L554" s="20" t="str">
        <f aca="false">IF($A554&gt;PARAMETROS!$C$33,"",L553*(1+PARAMETROS!$C$37)*(1+M554))</f>
        <v/>
      </c>
      <c r="M554" s="21" t="str">
        <f aca="false">IF($A554&gt;PARAMETROS!$C$33,"",IF(C554&lt;70,PARAMETROS!$C$40,IF(C554&lt;75,PARAMETROS!$C$41,IF(C554&lt;80,PARAMETROS!$C$42,IF(C554&lt;85,PARAMETROS!$C$43,IF(C554&lt;90,PARAMETROS!$C$44,PARAMETROS!$C$45))))))</f>
        <v/>
      </c>
      <c r="N554" s="20" t="str">
        <f aca="false">IF($A554&gt;PARAMETROS!$C$33,"",K554+L554)</f>
        <v/>
      </c>
      <c r="O554" s="20" t="str">
        <f aca="false">IF($A554&gt;PARAMETROS!$C$33,"",I554+J554-N554)</f>
        <v/>
      </c>
      <c r="P554" s="20" t="str">
        <f aca="false">IF($A554&gt;PARAMETROS!$C$33,"",MAX(E554+I554+J554-N554,0))</f>
        <v/>
      </c>
      <c r="Q554" s="22" t="str">
        <f aca="false">IF($A554&gt;PARAMETROS!$C$33,"",IF(P554&lt;=0,"AGOTADO","OK"))</f>
        <v/>
      </c>
    </row>
    <row r="555" customFormat="false" ht="15" hidden="false" customHeight="false" outlineLevel="0" collapsed="false">
      <c r="A555" s="15" t="n">
        <f aca="false">A554+1</f>
        <v>553</v>
      </c>
      <c r="B555" s="15" t="n">
        <f aca="false">IF($A555="","",ROUNDUP($A555/12,0))</f>
        <v>47</v>
      </c>
      <c r="C555" s="15" t="n">
        <f aca="false">IF($A555="","",PARAMETROS!$C$6+INT(($A555-1)/12))</f>
        <v>111</v>
      </c>
      <c r="D555" s="15" t="n">
        <f aca="false">IF($A555="","",MOD($A555-1,12)+1)</f>
        <v>1</v>
      </c>
      <c r="E555" s="16" t="str">
        <f aca="false">IF($A555&gt;PARAMETROS!$C$33,"",P554)</f>
        <v/>
      </c>
      <c r="F555" s="17" t="str">
        <f aca="false">IF($A555&gt;PARAMETROS!$C$33,"",PARAMETROS!$C$38)</f>
        <v/>
      </c>
      <c r="G555" s="16" t="str">
        <f aca="false">IF($A555&gt;PARAMETROS!$C$33,"",E555*F555)</f>
        <v/>
      </c>
      <c r="H555" s="16" t="str">
        <f aca="false">IF($A555&gt;PARAMETROS!$C$33,"",E555*PARAMETROS!$C$39)</f>
        <v/>
      </c>
      <c r="I555" s="16" t="str">
        <f aca="false">IF($A555&gt;PARAMETROS!$C$33,"",G555-H555)</f>
        <v/>
      </c>
      <c r="J555" s="16" t="str">
        <f aca="false">IF($A555&gt;PARAMETROS!$C$33,"",PARAMETROS!$C$9*(1+PARAMETROS!$C$17)^(B555-1))</f>
        <v/>
      </c>
      <c r="K555" s="16" t="str">
        <f aca="false">IF($A555&gt;PARAMETROS!$C$33,"",K554*(1+PARAMETROS!$C$36))</f>
        <v/>
      </c>
      <c r="L555" s="16" t="str">
        <f aca="false">IF($A555&gt;PARAMETROS!$C$33,"",L554*(1+PARAMETROS!$C$37)*(1+M555))</f>
        <v/>
      </c>
      <c r="M555" s="17" t="str">
        <f aca="false">IF($A555&gt;PARAMETROS!$C$33,"",IF(C555&lt;70,PARAMETROS!$C$40,IF(C555&lt;75,PARAMETROS!$C$41,IF(C555&lt;80,PARAMETROS!$C$42,IF(C555&lt;85,PARAMETROS!$C$43,IF(C555&lt;90,PARAMETROS!$C$44,PARAMETROS!$C$45))))))</f>
        <v/>
      </c>
      <c r="N555" s="16" t="str">
        <f aca="false">IF($A555&gt;PARAMETROS!$C$33,"",K555+L555)</f>
        <v/>
      </c>
      <c r="O555" s="16" t="str">
        <f aca="false">IF($A555&gt;PARAMETROS!$C$33,"",I555+J555-N555)</f>
        <v/>
      </c>
      <c r="P555" s="16" t="str">
        <f aca="false">IF($A555&gt;PARAMETROS!$C$33,"",MAX(E555+I555+J555-N555,0))</f>
        <v/>
      </c>
      <c r="Q555" s="18" t="str">
        <f aca="false">IF($A555&gt;PARAMETROS!$C$33,"",IF(P555&lt;=0,"AGOTADO","OK"))</f>
        <v/>
      </c>
    </row>
    <row r="556" customFormat="false" ht="15" hidden="false" customHeight="false" outlineLevel="0" collapsed="false">
      <c r="A556" s="15" t="n">
        <f aca="false">A555+1</f>
        <v>554</v>
      </c>
      <c r="B556" s="15" t="n">
        <f aca="false">IF($A556="","",ROUNDUP($A556/12,0))</f>
        <v>47</v>
      </c>
      <c r="C556" s="15" t="n">
        <f aca="false">IF($A556="","",PARAMETROS!$C$6+INT(($A556-1)/12))</f>
        <v>111</v>
      </c>
      <c r="D556" s="15" t="n">
        <f aca="false">IF($A556="","",MOD($A556-1,12)+1)</f>
        <v>2</v>
      </c>
      <c r="E556" s="16" t="str">
        <f aca="false">IF($A556&gt;PARAMETROS!$C$33,"",P555)</f>
        <v/>
      </c>
      <c r="F556" s="17" t="str">
        <f aca="false">IF($A556&gt;PARAMETROS!$C$33,"",PARAMETROS!$C$38)</f>
        <v/>
      </c>
      <c r="G556" s="16" t="str">
        <f aca="false">IF($A556&gt;PARAMETROS!$C$33,"",E556*F556)</f>
        <v/>
      </c>
      <c r="H556" s="16" t="str">
        <f aca="false">IF($A556&gt;PARAMETROS!$C$33,"",E556*PARAMETROS!$C$39)</f>
        <v/>
      </c>
      <c r="I556" s="16" t="str">
        <f aca="false">IF($A556&gt;PARAMETROS!$C$33,"",G556-H556)</f>
        <v/>
      </c>
      <c r="J556" s="16" t="str">
        <f aca="false">IF($A556&gt;PARAMETROS!$C$33,"",PARAMETROS!$C$9*(1+PARAMETROS!$C$17)^(B556-1))</f>
        <v/>
      </c>
      <c r="K556" s="16" t="str">
        <f aca="false">IF($A556&gt;PARAMETROS!$C$33,"",K555*(1+PARAMETROS!$C$36))</f>
        <v/>
      </c>
      <c r="L556" s="16" t="str">
        <f aca="false">IF($A556&gt;PARAMETROS!$C$33,"",L555*(1+PARAMETROS!$C$37)*(1+M556))</f>
        <v/>
      </c>
      <c r="M556" s="17" t="str">
        <f aca="false">IF($A556&gt;PARAMETROS!$C$33,"",IF(C556&lt;70,PARAMETROS!$C$40,IF(C556&lt;75,PARAMETROS!$C$41,IF(C556&lt;80,PARAMETROS!$C$42,IF(C556&lt;85,PARAMETROS!$C$43,IF(C556&lt;90,PARAMETROS!$C$44,PARAMETROS!$C$45))))))</f>
        <v/>
      </c>
      <c r="N556" s="16" t="str">
        <f aca="false">IF($A556&gt;PARAMETROS!$C$33,"",K556+L556)</f>
        <v/>
      </c>
      <c r="O556" s="16" t="str">
        <f aca="false">IF($A556&gt;PARAMETROS!$C$33,"",I556+J556-N556)</f>
        <v/>
      </c>
      <c r="P556" s="16" t="str">
        <f aca="false">IF($A556&gt;PARAMETROS!$C$33,"",MAX(E556+I556+J556-N556,0))</f>
        <v/>
      </c>
      <c r="Q556" s="18" t="str">
        <f aca="false">IF($A556&gt;PARAMETROS!$C$33,"",IF(P556&lt;=0,"AGOTADO","OK"))</f>
        <v/>
      </c>
    </row>
    <row r="557" customFormat="false" ht="15" hidden="false" customHeight="false" outlineLevel="0" collapsed="false">
      <c r="A557" s="15" t="n">
        <f aca="false">A556+1</f>
        <v>555</v>
      </c>
      <c r="B557" s="15" t="n">
        <f aca="false">IF($A557="","",ROUNDUP($A557/12,0))</f>
        <v>47</v>
      </c>
      <c r="C557" s="15" t="n">
        <f aca="false">IF($A557="","",PARAMETROS!$C$6+INT(($A557-1)/12))</f>
        <v>111</v>
      </c>
      <c r="D557" s="15" t="n">
        <f aca="false">IF($A557="","",MOD($A557-1,12)+1)</f>
        <v>3</v>
      </c>
      <c r="E557" s="16" t="str">
        <f aca="false">IF($A557&gt;PARAMETROS!$C$33,"",P556)</f>
        <v/>
      </c>
      <c r="F557" s="17" t="str">
        <f aca="false">IF($A557&gt;PARAMETROS!$C$33,"",PARAMETROS!$C$38)</f>
        <v/>
      </c>
      <c r="G557" s="16" t="str">
        <f aca="false">IF($A557&gt;PARAMETROS!$C$33,"",E557*F557)</f>
        <v/>
      </c>
      <c r="H557" s="16" t="str">
        <f aca="false">IF($A557&gt;PARAMETROS!$C$33,"",E557*PARAMETROS!$C$39)</f>
        <v/>
      </c>
      <c r="I557" s="16" t="str">
        <f aca="false">IF($A557&gt;PARAMETROS!$C$33,"",G557-H557)</f>
        <v/>
      </c>
      <c r="J557" s="16" t="str">
        <f aca="false">IF($A557&gt;PARAMETROS!$C$33,"",PARAMETROS!$C$9*(1+PARAMETROS!$C$17)^(B557-1))</f>
        <v/>
      </c>
      <c r="K557" s="16" t="str">
        <f aca="false">IF($A557&gt;PARAMETROS!$C$33,"",K556*(1+PARAMETROS!$C$36))</f>
        <v/>
      </c>
      <c r="L557" s="16" t="str">
        <f aca="false">IF($A557&gt;PARAMETROS!$C$33,"",L556*(1+PARAMETROS!$C$37)*(1+M557))</f>
        <v/>
      </c>
      <c r="M557" s="17" t="str">
        <f aca="false">IF($A557&gt;PARAMETROS!$C$33,"",IF(C557&lt;70,PARAMETROS!$C$40,IF(C557&lt;75,PARAMETROS!$C$41,IF(C557&lt;80,PARAMETROS!$C$42,IF(C557&lt;85,PARAMETROS!$C$43,IF(C557&lt;90,PARAMETROS!$C$44,PARAMETROS!$C$45))))))</f>
        <v/>
      </c>
      <c r="N557" s="16" t="str">
        <f aca="false">IF($A557&gt;PARAMETROS!$C$33,"",K557+L557)</f>
        <v/>
      </c>
      <c r="O557" s="16" t="str">
        <f aca="false">IF($A557&gt;PARAMETROS!$C$33,"",I557+J557-N557)</f>
        <v/>
      </c>
      <c r="P557" s="16" t="str">
        <f aca="false">IF($A557&gt;PARAMETROS!$C$33,"",MAX(E557+I557+J557-N557,0))</f>
        <v/>
      </c>
      <c r="Q557" s="18" t="str">
        <f aca="false">IF($A557&gt;PARAMETROS!$C$33,"",IF(P557&lt;=0,"AGOTADO","OK"))</f>
        <v/>
      </c>
    </row>
    <row r="558" customFormat="false" ht="15" hidden="false" customHeight="false" outlineLevel="0" collapsed="false">
      <c r="A558" s="15" t="n">
        <f aca="false">A557+1</f>
        <v>556</v>
      </c>
      <c r="B558" s="15" t="n">
        <f aca="false">IF($A558="","",ROUNDUP($A558/12,0))</f>
        <v>47</v>
      </c>
      <c r="C558" s="15" t="n">
        <f aca="false">IF($A558="","",PARAMETROS!$C$6+INT(($A558-1)/12))</f>
        <v>111</v>
      </c>
      <c r="D558" s="15" t="n">
        <f aca="false">IF($A558="","",MOD($A558-1,12)+1)</f>
        <v>4</v>
      </c>
      <c r="E558" s="16" t="str">
        <f aca="false">IF($A558&gt;PARAMETROS!$C$33,"",P557)</f>
        <v/>
      </c>
      <c r="F558" s="17" t="str">
        <f aca="false">IF($A558&gt;PARAMETROS!$C$33,"",PARAMETROS!$C$38)</f>
        <v/>
      </c>
      <c r="G558" s="16" t="str">
        <f aca="false">IF($A558&gt;PARAMETROS!$C$33,"",E558*F558)</f>
        <v/>
      </c>
      <c r="H558" s="16" t="str">
        <f aca="false">IF($A558&gt;PARAMETROS!$C$33,"",E558*PARAMETROS!$C$39)</f>
        <v/>
      </c>
      <c r="I558" s="16" t="str">
        <f aca="false">IF($A558&gt;PARAMETROS!$C$33,"",G558-H558)</f>
        <v/>
      </c>
      <c r="J558" s="16" t="str">
        <f aca="false">IF($A558&gt;PARAMETROS!$C$33,"",PARAMETROS!$C$9*(1+PARAMETROS!$C$17)^(B558-1))</f>
        <v/>
      </c>
      <c r="K558" s="16" t="str">
        <f aca="false">IF($A558&gt;PARAMETROS!$C$33,"",K557*(1+PARAMETROS!$C$36))</f>
        <v/>
      </c>
      <c r="L558" s="16" t="str">
        <f aca="false">IF($A558&gt;PARAMETROS!$C$33,"",L557*(1+PARAMETROS!$C$37)*(1+M558))</f>
        <v/>
      </c>
      <c r="M558" s="17" t="str">
        <f aca="false">IF($A558&gt;PARAMETROS!$C$33,"",IF(C558&lt;70,PARAMETROS!$C$40,IF(C558&lt;75,PARAMETROS!$C$41,IF(C558&lt;80,PARAMETROS!$C$42,IF(C558&lt;85,PARAMETROS!$C$43,IF(C558&lt;90,PARAMETROS!$C$44,PARAMETROS!$C$45))))))</f>
        <v/>
      </c>
      <c r="N558" s="16" t="str">
        <f aca="false">IF($A558&gt;PARAMETROS!$C$33,"",K558+L558)</f>
        <v/>
      </c>
      <c r="O558" s="16" t="str">
        <f aca="false">IF($A558&gt;PARAMETROS!$C$33,"",I558+J558-N558)</f>
        <v/>
      </c>
      <c r="P558" s="16" t="str">
        <f aca="false">IF($A558&gt;PARAMETROS!$C$33,"",MAX(E558+I558+J558-N558,0))</f>
        <v/>
      </c>
      <c r="Q558" s="18" t="str">
        <f aca="false">IF($A558&gt;PARAMETROS!$C$33,"",IF(P558&lt;=0,"AGOTADO","OK"))</f>
        <v/>
      </c>
    </row>
    <row r="559" customFormat="false" ht="15" hidden="false" customHeight="false" outlineLevel="0" collapsed="false">
      <c r="A559" s="15" t="n">
        <f aca="false">A558+1</f>
        <v>557</v>
      </c>
      <c r="B559" s="15" t="n">
        <f aca="false">IF($A559="","",ROUNDUP($A559/12,0))</f>
        <v>47</v>
      </c>
      <c r="C559" s="15" t="n">
        <f aca="false">IF($A559="","",PARAMETROS!$C$6+INT(($A559-1)/12))</f>
        <v>111</v>
      </c>
      <c r="D559" s="15" t="n">
        <f aca="false">IF($A559="","",MOD($A559-1,12)+1)</f>
        <v>5</v>
      </c>
      <c r="E559" s="16" t="str">
        <f aca="false">IF($A559&gt;PARAMETROS!$C$33,"",P558)</f>
        <v/>
      </c>
      <c r="F559" s="17" t="str">
        <f aca="false">IF($A559&gt;PARAMETROS!$C$33,"",PARAMETROS!$C$38)</f>
        <v/>
      </c>
      <c r="G559" s="16" t="str">
        <f aca="false">IF($A559&gt;PARAMETROS!$C$33,"",E559*F559)</f>
        <v/>
      </c>
      <c r="H559" s="16" t="str">
        <f aca="false">IF($A559&gt;PARAMETROS!$C$33,"",E559*PARAMETROS!$C$39)</f>
        <v/>
      </c>
      <c r="I559" s="16" t="str">
        <f aca="false">IF($A559&gt;PARAMETROS!$C$33,"",G559-H559)</f>
        <v/>
      </c>
      <c r="J559" s="16" t="str">
        <f aca="false">IF($A559&gt;PARAMETROS!$C$33,"",PARAMETROS!$C$9*(1+PARAMETROS!$C$17)^(B559-1))</f>
        <v/>
      </c>
      <c r="K559" s="16" t="str">
        <f aca="false">IF($A559&gt;PARAMETROS!$C$33,"",K558*(1+PARAMETROS!$C$36))</f>
        <v/>
      </c>
      <c r="L559" s="16" t="str">
        <f aca="false">IF($A559&gt;PARAMETROS!$C$33,"",L558*(1+PARAMETROS!$C$37)*(1+M559))</f>
        <v/>
      </c>
      <c r="M559" s="17" t="str">
        <f aca="false">IF($A559&gt;PARAMETROS!$C$33,"",IF(C559&lt;70,PARAMETROS!$C$40,IF(C559&lt;75,PARAMETROS!$C$41,IF(C559&lt;80,PARAMETROS!$C$42,IF(C559&lt;85,PARAMETROS!$C$43,IF(C559&lt;90,PARAMETROS!$C$44,PARAMETROS!$C$45))))))</f>
        <v/>
      </c>
      <c r="N559" s="16" t="str">
        <f aca="false">IF($A559&gt;PARAMETROS!$C$33,"",K559+L559)</f>
        <v/>
      </c>
      <c r="O559" s="16" t="str">
        <f aca="false">IF($A559&gt;PARAMETROS!$C$33,"",I559+J559-N559)</f>
        <v/>
      </c>
      <c r="P559" s="16" t="str">
        <f aca="false">IF($A559&gt;PARAMETROS!$C$33,"",MAX(E559+I559+J559-N559,0))</f>
        <v/>
      </c>
      <c r="Q559" s="18" t="str">
        <f aca="false">IF($A559&gt;PARAMETROS!$C$33,"",IF(P559&lt;=0,"AGOTADO","OK"))</f>
        <v/>
      </c>
    </row>
    <row r="560" customFormat="false" ht="15" hidden="false" customHeight="false" outlineLevel="0" collapsed="false">
      <c r="A560" s="15" t="n">
        <f aca="false">A559+1</f>
        <v>558</v>
      </c>
      <c r="B560" s="15" t="n">
        <f aca="false">IF($A560="","",ROUNDUP($A560/12,0))</f>
        <v>47</v>
      </c>
      <c r="C560" s="15" t="n">
        <f aca="false">IF($A560="","",PARAMETROS!$C$6+INT(($A560-1)/12))</f>
        <v>111</v>
      </c>
      <c r="D560" s="15" t="n">
        <f aca="false">IF($A560="","",MOD($A560-1,12)+1)</f>
        <v>6</v>
      </c>
      <c r="E560" s="16" t="str">
        <f aca="false">IF($A560&gt;PARAMETROS!$C$33,"",P559)</f>
        <v/>
      </c>
      <c r="F560" s="17" t="str">
        <f aca="false">IF($A560&gt;PARAMETROS!$C$33,"",PARAMETROS!$C$38)</f>
        <v/>
      </c>
      <c r="G560" s="16" t="str">
        <f aca="false">IF($A560&gt;PARAMETROS!$C$33,"",E560*F560)</f>
        <v/>
      </c>
      <c r="H560" s="16" t="str">
        <f aca="false">IF($A560&gt;PARAMETROS!$C$33,"",E560*PARAMETROS!$C$39)</f>
        <v/>
      </c>
      <c r="I560" s="16" t="str">
        <f aca="false">IF($A560&gt;PARAMETROS!$C$33,"",G560-H560)</f>
        <v/>
      </c>
      <c r="J560" s="16" t="str">
        <f aca="false">IF($A560&gt;PARAMETROS!$C$33,"",PARAMETROS!$C$9*(1+PARAMETROS!$C$17)^(B560-1))</f>
        <v/>
      </c>
      <c r="K560" s="16" t="str">
        <f aca="false">IF($A560&gt;PARAMETROS!$C$33,"",K559*(1+PARAMETROS!$C$36))</f>
        <v/>
      </c>
      <c r="L560" s="16" t="str">
        <f aca="false">IF($A560&gt;PARAMETROS!$C$33,"",L559*(1+PARAMETROS!$C$37)*(1+M560))</f>
        <v/>
      </c>
      <c r="M560" s="17" t="str">
        <f aca="false">IF($A560&gt;PARAMETROS!$C$33,"",IF(C560&lt;70,PARAMETROS!$C$40,IF(C560&lt;75,PARAMETROS!$C$41,IF(C560&lt;80,PARAMETROS!$C$42,IF(C560&lt;85,PARAMETROS!$C$43,IF(C560&lt;90,PARAMETROS!$C$44,PARAMETROS!$C$45))))))</f>
        <v/>
      </c>
      <c r="N560" s="16" t="str">
        <f aca="false">IF($A560&gt;PARAMETROS!$C$33,"",K560+L560)</f>
        <v/>
      </c>
      <c r="O560" s="16" t="str">
        <f aca="false">IF($A560&gt;PARAMETROS!$C$33,"",I560+J560-N560)</f>
        <v/>
      </c>
      <c r="P560" s="16" t="str">
        <f aca="false">IF($A560&gt;PARAMETROS!$C$33,"",MAX(E560+I560+J560-N560,0))</f>
        <v/>
      </c>
      <c r="Q560" s="18" t="str">
        <f aca="false">IF($A560&gt;PARAMETROS!$C$33,"",IF(P560&lt;=0,"AGOTADO","OK"))</f>
        <v/>
      </c>
    </row>
    <row r="561" customFormat="false" ht="15" hidden="false" customHeight="false" outlineLevel="0" collapsed="false">
      <c r="A561" s="15" t="n">
        <f aca="false">A560+1</f>
        <v>559</v>
      </c>
      <c r="B561" s="15" t="n">
        <f aca="false">IF($A561="","",ROUNDUP($A561/12,0))</f>
        <v>47</v>
      </c>
      <c r="C561" s="15" t="n">
        <f aca="false">IF($A561="","",PARAMETROS!$C$6+INT(($A561-1)/12))</f>
        <v>111</v>
      </c>
      <c r="D561" s="15" t="n">
        <f aca="false">IF($A561="","",MOD($A561-1,12)+1)</f>
        <v>7</v>
      </c>
      <c r="E561" s="16" t="str">
        <f aca="false">IF($A561&gt;PARAMETROS!$C$33,"",P560)</f>
        <v/>
      </c>
      <c r="F561" s="17" t="str">
        <f aca="false">IF($A561&gt;PARAMETROS!$C$33,"",PARAMETROS!$C$38)</f>
        <v/>
      </c>
      <c r="G561" s="16" t="str">
        <f aca="false">IF($A561&gt;PARAMETROS!$C$33,"",E561*F561)</f>
        <v/>
      </c>
      <c r="H561" s="16" t="str">
        <f aca="false">IF($A561&gt;PARAMETROS!$C$33,"",E561*PARAMETROS!$C$39)</f>
        <v/>
      </c>
      <c r="I561" s="16" t="str">
        <f aca="false">IF($A561&gt;PARAMETROS!$C$33,"",G561-H561)</f>
        <v/>
      </c>
      <c r="J561" s="16" t="str">
        <f aca="false">IF($A561&gt;PARAMETROS!$C$33,"",PARAMETROS!$C$9*(1+PARAMETROS!$C$17)^(B561-1))</f>
        <v/>
      </c>
      <c r="K561" s="16" t="str">
        <f aca="false">IF($A561&gt;PARAMETROS!$C$33,"",K560*(1+PARAMETROS!$C$36))</f>
        <v/>
      </c>
      <c r="L561" s="16" t="str">
        <f aca="false">IF($A561&gt;PARAMETROS!$C$33,"",L560*(1+PARAMETROS!$C$37)*(1+M561))</f>
        <v/>
      </c>
      <c r="M561" s="17" t="str">
        <f aca="false">IF($A561&gt;PARAMETROS!$C$33,"",IF(C561&lt;70,PARAMETROS!$C$40,IF(C561&lt;75,PARAMETROS!$C$41,IF(C561&lt;80,PARAMETROS!$C$42,IF(C561&lt;85,PARAMETROS!$C$43,IF(C561&lt;90,PARAMETROS!$C$44,PARAMETROS!$C$45))))))</f>
        <v/>
      </c>
      <c r="N561" s="16" t="str">
        <f aca="false">IF($A561&gt;PARAMETROS!$C$33,"",K561+L561)</f>
        <v/>
      </c>
      <c r="O561" s="16" t="str">
        <f aca="false">IF($A561&gt;PARAMETROS!$C$33,"",I561+J561-N561)</f>
        <v/>
      </c>
      <c r="P561" s="16" t="str">
        <f aca="false">IF($A561&gt;PARAMETROS!$C$33,"",MAX(E561+I561+J561-N561,0))</f>
        <v/>
      </c>
      <c r="Q561" s="18" t="str">
        <f aca="false">IF($A561&gt;PARAMETROS!$C$33,"",IF(P561&lt;=0,"AGOTADO","OK"))</f>
        <v/>
      </c>
    </row>
    <row r="562" customFormat="false" ht="15" hidden="false" customHeight="false" outlineLevel="0" collapsed="false">
      <c r="A562" s="15" t="n">
        <f aca="false">A561+1</f>
        <v>560</v>
      </c>
      <c r="B562" s="15" t="n">
        <f aca="false">IF($A562="","",ROUNDUP($A562/12,0))</f>
        <v>47</v>
      </c>
      <c r="C562" s="15" t="n">
        <f aca="false">IF($A562="","",PARAMETROS!$C$6+INT(($A562-1)/12))</f>
        <v>111</v>
      </c>
      <c r="D562" s="15" t="n">
        <f aca="false">IF($A562="","",MOD($A562-1,12)+1)</f>
        <v>8</v>
      </c>
      <c r="E562" s="16" t="str">
        <f aca="false">IF($A562&gt;PARAMETROS!$C$33,"",P561)</f>
        <v/>
      </c>
      <c r="F562" s="17" t="str">
        <f aca="false">IF($A562&gt;PARAMETROS!$C$33,"",PARAMETROS!$C$38)</f>
        <v/>
      </c>
      <c r="G562" s="16" t="str">
        <f aca="false">IF($A562&gt;PARAMETROS!$C$33,"",E562*F562)</f>
        <v/>
      </c>
      <c r="H562" s="16" t="str">
        <f aca="false">IF($A562&gt;PARAMETROS!$C$33,"",E562*PARAMETROS!$C$39)</f>
        <v/>
      </c>
      <c r="I562" s="16" t="str">
        <f aca="false">IF($A562&gt;PARAMETROS!$C$33,"",G562-H562)</f>
        <v/>
      </c>
      <c r="J562" s="16" t="str">
        <f aca="false">IF($A562&gt;PARAMETROS!$C$33,"",PARAMETROS!$C$9*(1+PARAMETROS!$C$17)^(B562-1))</f>
        <v/>
      </c>
      <c r="K562" s="16" t="str">
        <f aca="false">IF($A562&gt;PARAMETROS!$C$33,"",K561*(1+PARAMETROS!$C$36))</f>
        <v/>
      </c>
      <c r="L562" s="16" t="str">
        <f aca="false">IF($A562&gt;PARAMETROS!$C$33,"",L561*(1+PARAMETROS!$C$37)*(1+M562))</f>
        <v/>
      </c>
      <c r="M562" s="17" t="str">
        <f aca="false">IF($A562&gt;PARAMETROS!$C$33,"",IF(C562&lt;70,PARAMETROS!$C$40,IF(C562&lt;75,PARAMETROS!$C$41,IF(C562&lt;80,PARAMETROS!$C$42,IF(C562&lt;85,PARAMETROS!$C$43,IF(C562&lt;90,PARAMETROS!$C$44,PARAMETROS!$C$45))))))</f>
        <v/>
      </c>
      <c r="N562" s="16" t="str">
        <f aca="false">IF($A562&gt;PARAMETROS!$C$33,"",K562+L562)</f>
        <v/>
      </c>
      <c r="O562" s="16" t="str">
        <f aca="false">IF($A562&gt;PARAMETROS!$C$33,"",I562+J562-N562)</f>
        <v/>
      </c>
      <c r="P562" s="16" t="str">
        <f aca="false">IF($A562&gt;PARAMETROS!$C$33,"",MAX(E562+I562+J562-N562,0))</f>
        <v/>
      </c>
      <c r="Q562" s="18" t="str">
        <f aca="false">IF($A562&gt;PARAMETROS!$C$33,"",IF(P562&lt;=0,"AGOTADO","OK"))</f>
        <v/>
      </c>
    </row>
    <row r="563" customFormat="false" ht="15" hidden="false" customHeight="false" outlineLevel="0" collapsed="false">
      <c r="A563" s="15" t="n">
        <f aca="false">A562+1</f>
        <v>561</v>
      </c>
      <c r="B563" s="15" t="n">
        <f aca="false">IF($A563="","",ROUNDUP($A563/12,0))</f>
        <v>47</v>
      </c>
      <c r="C563" s="15" t="n">
        <f aca="false">IF($A563="","",PARAMETROS!$C$6+INT(($A563-1)/12))</f>
        <v>111</v>
      </c>
      <c r="D563" s="15" t="n">
        <f aca="false">IF($A563="","",MOD($A563-1,12)+1)</f>
        <v>9</v>
      </c>
      <c r="E563" s="16" t="str">
        <f aca="false">IF($A563&gt;PARAMETROS!$C$33,"",P562)</f>
        <v/>
      </c>
      <c r="F563" s="17" t="str">
        <f aca="false">IF($A563&gt;PARAMETROS!$C$33,"",PARAMETROS!$C$38)</f>
        <v/>
      </c>
      <c r="G563" s="16" t="str">
        <f aca="false">IF($A563&gt;PARAMETROS!$C$33,"",E563*F563)</f>
        <v/>
      </c>
      <c r="H563" s="16" t="str">
        <f aca="false">IF($A563&gt;PARAMETROS!$C$33,"",E563*PARAMETROS!$C$39)</f>
        <v/>
      </c>
      <c r="I563" s="16" t="str">
        <f aca="false">IF($A563&gt;PARAMETROS!$C$33,"",G563-H563)</f>
        <v/>
      </c>
      <c r="J563" s="16" t="str">
        <f aca="false">IF($A563&gt;PARAMETROS!$C$33,"",PARAMETROS!$C$9*(1+PARAMETROS!$C$17)^(B563-1))</f>
        <v/>
      </c>
      <c r="K563" s="16" t="str">
        <f aca="false">IF($A563&gt;PARAMETROS!$C$33,"",K562*(1+PARAMETROS!$C$36))</f>
        <v/>
      </c>
      <c r="L563" s="16" t="str">
        <f aca="false">IF($A563&gt;PARAMETROS!$C$33,"",L562*(1+PARAMETROS!$C$37)*(1+M563))</f>
        <v/>
      </c>
      <c r="M563" s="17" t="str">
        <f aca="false">IF($A563&gt;PARAMETROS!$C$33,"",IF(C563&lt;70,PARAMETROS!$C$40,IF(C563&lt;75,PARAMETROS!$C$41,IF(C563&lt;80,PARAMETROS!$C$42,IF(C563&lt;85,PARAMETROS!$C$43,IF(C563&lt;90,PARAMETROS!$C$44,PARAMETROS!$C$45))))))</f>
        <v/>
      </c>
      <c r="N563" s="16" t="str">
        <f aca="false">IF($A563&gt;PARAMETROS!$C$33,"",K563+L563)</f>
        <v/>
      </c>
      <c r="O563" s="16" t="str">
        <f aca="false">IF($A563&gt;PARAMETROS!$C$33,"",I563+J563-N563)</f>
        <v/>
      </c>
      <c r="P563" s="16" t="str">
        <f aca="false">IF($A563&gt;PARAMETROS!$C$33,"",MAX(E563+I563+J563-N563,0))</f>
        <v/>
      </c>
      <c r="Q563" s="18" t="str">
        <f aca="false">IF($A563&gt;PARAMETROS!$C$33,"",IF(P563&lt;=0,"AGOTADO","OK"))</f>
        <v/>
      </c>
    </row>
    <row r="564" customFormat="false" ht="15" hidden="false" customHeight="false" outlineLevel="0" collapsed="false">
      <c r="A564" s="15" t="n">
        <f aca="false">A563+1</f>
        <v>562</v>
      </c>
      <c r="B564" s="15" t="n">
        <f aca="false">IF($A564="","",ROUNDUP($A564/12,0))</f>
        <v>47</v>
      </c>
      <c r="C564" s="15" t="n">
        <f aca="false">IF($A564="","",PARAMETROS!$C$6+INT(($A564-1)/12))</f>
        <v>111</v>
      </c>
      <c r="D564" s="15" t="n">
        <f aca="false">IF($A564="","",MOD($A564-1,12)+1)</f>
        <v>10</v>
      </c>
      <c r="E564" s="16" t="str">
        <f aca="false">IF($A564&gt;PARAMETROS!$C$33,"",P563)</f>
        <v/>
      </c>
      <c r="F564" s="17" t="str">
        <f aca="false">IF($A564&gt;PARAMETROS!$C$33,"",PARAMETROS!$C$38)</f>
        <v/>
      </c>
      <c r="G564" s="16" t="str">
        <f aca="false">IF($A564&gt;PARAMETROS!$C$33,"",E564*F564)</f>
        <v/>
      </c>
      <c r="H564" s="16" t="str">
        <f aca="false">IF($A564&gt;PARAMETROS!$C$33,"",E564*PARAMETROS!$C$39)</f>
        <v/>
      </c>
      <c r="I564" s="16" t="str">
        <f aca="false">IF($A564&gt;PARAMETROS!$C$33,"",G564-H564)</f>
        <v/>
      </c>
      <c r="J564" s="16" t="str">
        <f aca="false">IF($A564&gt;PARAMETROS!$C$33,"",PARAMETROS!$C$9*(1+PARAMETROS!$C$17)^(B564-1))</f>
        <v/>
      </c>
      <c r="K564" s="16" t="str">
        <f aca="false">IF($A564&gt;PARAMETROS!$C$33,"",K563*(1+PARAMETROS!$C$36))</f>
        <v/>
      </c>
      <c r="L564" s="16" t="str">
        <f aca="false">IF($A564&gt;PARAMETROS!$C$33,"",L563*(1+PARAMETROS!$C$37)*(1+M564))</f>
        <v/>
      </c>
      <c r="M564" s="17" t="str">
        <f aca="false">IF($A564&gt;PARAMETROS!$C$33,"",IF(C564&lt;70,PARAMETROS!$C$40,IF(C564&lt;75,PARAMETROS!$C$41,IF(C564&lt;80,PARAMETROS!$C$42,IF(C564&lt;85,PARAMETROS!$C$43,IF(C564&lt;90,PARAMETROS!$C$44,PARAMETROS!$C$45))))))</f>
        <v/>
      </c>
      <c r="N564" s="16" t="str">
        <f aca="false">IF($A564&gt;PARAMETROS!$C$33,"",K564+L564)</f>
        <v/>
      </c>
      <c r="O564" s="16" t="str">
        <f aca="false">IF($A564&gt;PARAMETROS!$C$33,"",I564+J564-N564)</f>
        <v/>
      </c>
      <c r="P564" s="16" t="str">
        <f aca="false">IF($A564&gt;PARAMETROS!$C$33,"",MAX(E564+I564+J564-N564,0))</f>
        <v/>
      </c>
      <c r="Q564" s="18" t="str">
        <f aca="false">IF($A564&gt;PARAMETROS!$C$33,"",IF(P564&lt;=0,"AGOTADO","OK"))</f>
        <v/>
      </c>
    </row>
    <row r="565" customFormat="false" ht="15" hidden="false" customHeight="false" outlineLevel="0" collapsed="false">
      <c r="A565" s="15" t="n">
        <f aca="false">A564+1</f>
        <v>563</v>
      </c>
      <c r="B565" s="15" t="n">
        <f aca="false">IF($A565="","",ROUNDUP($A565/12,0))</f>
        <v>47</v>
      </c>
      <c r="C565" s="15" t="n">
        <f aca="false">IF($A565="","",PARAMETROS!$C$6+INT(($A565-1)/12))</f>
        <v>111</v>
      </c>
      <c r="D565" s="15" t="n">
        <f aca="false">IF($A565="","",MOD($A565-1,12)+1)</f>
        <v>11</v>
      </c>
      <c r="E565" s="16" t="str">
        <f aca="false">IF($A565&gt;PARAMETROS!$C$33,"",P564)</f>
        <v/>
      </c>
      <c r="F565" s="17" t="str">
        <f aca="false">IF($A565&gt;PARAMETROS!$C$33,"",PARAMETROS!$C$38)</f>
        <v/>
      </c>
      <c r="G565" s="16" t="str">
        <f aca="false">IF($A565&gt;PARAMETROS!$C$33,"",E565*F565)</f>
        <v/>
      </c>
      <c r="H565" s="16" t="str">
        <f aca="false">IF($A565&gt;PARAMETROS!$C$33,"",E565*PARAMETROS!$C$39)</f>
        <v/>
      </c>
      <c r="I565" s="16" t="str">
        <f aca="false">IF($A565&gt;PARAMETROS!$C$33,"",G565-H565)</f>
        <v/>
      </c>
      <c r="J565" s="16" t="str">
        <f aca="false">IF($A565&gt;PARAMETROS!$C$33,"",PARAMETROS!$C$9*(1+PARAMETROS!$C$17)^(B565-1))</f>
        <v/>
      </c>
      <c r="K565" s="16" t="str">
        <f aca="false">IF($A565&gt;PARAMETROS!$C$33,"",K564*(1+PARAMETROS!$C$36))</f>
        <v/>
      </c>
      <c r="L565" s="16" t="str">
        <f aca="false">IF($A565&gt;PARAMETROS!$C$33,"",L564*(1+PARAMETROS!$C$37)*(1+M565))</f>
        <v/>
      </c>
      <c r="M565" s="17" t="str">
        <f aca="false">IF($A565&gt;PARAMETROS!$C$33,"",IF(C565&lt;70,PARAMETROS!$C$40,IF(C565&lt;75,PARAMETROS!$C$41,IF(C565&lt;80,PARAMETROS!$C$42,IF(C565&lt;85,PARAMETROS!$C$43,IF(C565&lt;90,PARAMETROS!$C$44,PARAMETROS!$C$45))))))</f>
        <v/>
      </c>
      <c r="N565" s="16" t="str">
        <f aca="false">IF($A565&gt;PARAMETROS!$C$33,"",K565+L565)</f>
        <v/>
      </c>
      <c r="O565" s="16" t="str">
        <f aca="false">IF($A565&gt;PARAMETROS!$C$33,"",I565+J565-N565)</f>
        <v/>
      </c>
      <c r="P565" s="16" t="str">
        <f aca="false">IF($A565&gt;PARAMETROS!$C$33,"",MAX(E565+I565+J565-N565,0))</f>
        <v/>
      </c>
      <c r="Q565" s="18" t="str">
        <f aca="false">IF($A565&gt;PARAMETROS!$C$33,"",IF(P565&lt;=0,"AGOTADO","OK"))</f>
        <v/>
      </c>
    </row>
    <row r="566" customFormat="false" ht="15" hidden="false" customHeight="false" outlineLevel="0" collapsed="false">
      <c r="A566" s="15" t="n">
        <f aca="false">A565+1</f>
        <v>564</v>
      </c>
      <c r="B566" s="15" t="n">
        <f aca="false">IF($A566="","",ROUNDUP($A566/12,0))</f>
        <v>47</v>
      </c>
      <c r="C566" s="15" t="n">
        <f aca="false">IF($A566="","",PARAMETROS!$C$6+INT(($A566-1)/12))</f>
        <v>111</v>
      </c>
      <c r="D566" s="15" t="n">
        <f aca="false">IF($A566="","",MOD($A566-1,12)+1)</f>
        <v>12</v>
      </c>
      <c r="E566" s="16" t="str">
        <f aca="false">IF($A566&gt;PARAMETROS!$C$33,"",P565)</f>
        <v/>
      </c>
      <c r="F566" s="17" t="str">
        <f aca="false">IF($A566&gt;PARAMETROS!$C$33,"",PARAMETROS!$C$38)</f>
        <v/>
      </c>
      <c r="G566" s="16" t="str">
        <f aca="false">IF($A566&gt;PARAMETROS!$C$33,"",E566*F566)</f>
        <v/>
      </c>
      <c r="H566" s="16" t="str">
        <f aca="false">IF($A566&gt;PARAMETROS!$C$33,"",E566*PARAMETROS!$C$39)</f>
        <v/>
      </c>
      <c r="I566" s="16" t="str">
        <f aca="false">IF($A566&gt;PARAMETROS!$C$33,"",G566-H566)</f>
        <v/>
      </c>
      <c r="J566" s="16" t="str">
        <f aca="false">IF($A566&gt;PARAMETROS!$C$33,"",PARAMETROS!$C$9*(1+PARAMETROS!$C$17)^(B566-1))</f>
        <v/>
      </c>
      <c r="K566" s="16" t="str">
        <f aca="false">IF($A566&gt;PARAMETROS!$C$33,"",K565*(1+PARAMETROS!$C$36))</f>
        <v/>
      </c>
      <c r="L566" s="16" t="str">
        <f aca="false">IF($A566&gt;PARAMETROS!$C$33,"",L565*(1+PARAMETROS!$C$37)*(1+M566))</f>
        <v/>
      </c>
      <c r="M566" s="17" t="str">
        <f aca="false">IF($A566&gt;PARAMETROS!$C$33,"",IF(C566&lt;70,PARAMETROS!$C$40,IF(C566&lt;75,PARAMETROS!$C$41,IF(C566&lt;80,PARAMETROS!$C$42,IF(C566&lt;85,PARAMETROS!$C$43,IF(C566&lt;90,PARAMETROS!$C$44,PARAMETROS!$C$45))))))</f>
        <v/>
      </c>
      <c r="N566" s="16" t="str">
        <f aca="false">IF($A566&gt;PARAMETROS!$C$33,"",K566+L566)</f>
        <v/>
      </c>
      <c r="O566" s="16" t="str">
        <f aca="false">IF($A566&gt;PARAMETROS!$C$33,"",I566+J566-N566)</f>
        <v/>
      </c>
      <c r="P566" s="16" t="str">
        <f aca="false">IF($A566&gt;PARAMETROS!$C$33,"",MAX(E566+I566+J566-N566,0))</f>
        <v/>
      </c>
      <c r="Q566" s="18" t="str">
        <f aca="false">IF($A566&gt;PARAMETROS!$C$33,"",IF(P566&lt;=0,"AGOTADO","OK"))</f>
        <v/>
      </c>
    </row>
    <row r="567" customFormat="false" ht="15" hidden="false" customHeight="false" outlineLevel="0" collapsed="false">
      <c r="A567" s="19" t="n">
        <f aca="false">A566+1</f>
        <v>565</v>
      </c>
      <c r="B567" s="19" t="n">
        <f aca="false">IF($A567="","",ROUNDUP($A567/12,0))</f>
        <v>48</v>
      </c>
      <c r="C567" s="19" t="n">
        <f aca="false">IF($A567="","",PARAMETROS!$C$6+INT(($A567-1)/12))</f>
        <v>112</v>
      </c>
      <c r="D567" s="19" t="n">
        <f aca="false">IF($A567="","",MOD($A567-1,12)+1)</f>
        <v>1</v>
      </c>
      <c r="E567" s="20" t="str">
        <f aca="false">IF($A567&gt;PARAMETROS!$C$33,"",P566)</f>
        <v/>
      </c>
      <c r="F567" s="21" t="str">
        <f aca="false">IF($A567&gt;PARAMETROS!$C$33,"",PARAMETROS!$C$38)</f>
        <v/>
      </c>
      <c r="G567" s="20" t="str">
        <f aca="false">IF($A567&gt;PARAMETROS!$C$33,"",E567*F567)</f>
        <v/>
      </c>
      <c r="H567" s="20" t="str">
        <f aca="false">IF($A567&gt;PARAMETROS!$C$33,"",E567*PARAMETROS!$C$39)</f>
        <v/>
      </c>
      <c r="I567" s="20" t="str">
        <f aca="false">IF($A567&gt;PARAMETROS!$C$33,"",G567-H567)</f>
        <v/>
      </c>
      <c r="J567" s="20" t="str">
        <f aca="false">IF($A567&gt;PARAMETROS!$C$33,"",PARAMETROS!$C$9*(1+PARAMETROS!$C$17)^(B567-1))</f>
        <v/>
      </c>
      <c r="K567" s="20" t="str">
        <f aca="false">IF($A567&gt;PARAMETROS!$C$33,"",K566*(1+PARAMETROS!$C$36))</f>
        <v/>
      </c>
      <c r="L567" s="20" t="str">
        <f aca="false">IF($A567&gt;PARAMETROS!$C$33,"",L566*(1+PARAMETROS!$C$37)*(1+M567))</f>
        <v/>
      </c>
      <c r="M567" s="21" t="str">
        <f aca="false">IF($A567&gt;PARAMETROS!$C$33,"",IF(C567&lt;70,PARAMETROS!$C$40,IF(C567&lt;75,PARAMETROS!$C$41,IF(C567&lt;80,PARAMETROS!$C$42,IF(C567&lt;85,PARAMETROS!$C$43,IF(C567&lt;90,PARAMETROS!$C$44,PARAMETROS!$C$45))))))</f>
        <v/>
      </c>
      <c r="N567" s="20" t="str">
        <f aca="false">IF($A567&gt;PARAMETROS!$C$33,"",K567+L567)</f>
        <v/>
      </c>
      <c r="O567" s="20" t="str">
        <f aca="false">IF($A567&gt;PARAMETROS!$C$33,"",I567+J567-N567)</f>
        <v/>
      </c>
      <c r="P567" s="20" t="str">
        <f aca="false">IF($A567&gt;PARAMETROS!$C$33,"",MAX(E567+I567+J567-N567,0))</f>
        <v/>
      </c>
      <c r="Q567" s="22" t="str">
        <f aca="false">IF($A567&gt;PARAMETROS!$C$33,"",IF(P567&lt;=0,"AGOTADO","OK"))</f>
        <v/>
      </c>
    </row>
    <row r="568" customFormat="false" ht="15" hidden="false" customHeight="false" outlineLevel="0" collapsed="false">
      <c r="A568" s="19" t="n">
        <f aca="false">A567+1</f>
        <v>566</v>
      </c>
      <c r="B568" s="19" t="n">
        <f aca="false">IF($A568="","",ROUNDUP($A568/12,0))</f>
        <v>48</v>
      </c>
      <c r="C568" s="19" t="n">
        <f aca="false">IF($A568="","",PARAMETROS!$C$6+INT(($A568-1)/12))</f>
        <v>112</v>
      </c>
      <c r="D568" s="19" t="n">
        <f aca="false">IF($A568="","",MOD($A568-1,12)+1)</f>
        <v>2</v>
      </c>
      <c r="E568" s="20" t="str">
        <f aca="false">IF($A568&gt;PARAMETROS!$C$33,"",P567)</f>
        <v/>
      </c>
      <c r="F568" s="21" t="str">
        <f aca="false">IF($A568&gt;PARAMETROS!$C$33,"",PARAMETROS!$C$38)</f>
        <v/>
      </c>
      <c r="G568" s="20" t="str">
        <f aca="false">IF($A568&gt;PARAMETROS!$C$33,"",E568*F568)</f>
        <v/>
      </c>
      <c r="H568" s="20" t="str">
        <f aca="false">IF($A568&gt;PARAMETROS!$C$33,"",E568*PARAMETROS!$C$39)</f>
        <v/>
      </c>
      <c r="I568" s="20" t="str">
        <f aca="false">IF($A568&gt;PARAMETROS!$C$33,"",G568-H568)</f>
        <v/>
      </c>
      <c r="J568" s="20" t="str">
        <f aca="false">IF($A568&gt;PARAMETROS!$C$33,"",PARAMETROS!$C$9*(1+PARAMETROS!$C$17)^(B568-1))</f>
        <v/>
      </c>
      <c r="K568" s="20" t="str">
        <f aca="false">IF($A568&gt;PARAMETROS!$C$33,"",K567*(1+PARAMETROS!$C$36))</f>
        <v/>
      </c>
      <c r="L568" s="20" t="str">
        <f aca="false">IF($A568&gt;PARAMETROS!$C$33,"",L567*(1+PARAMETROS!$C$37)*(1+M568))</f>
        <v/>
      </c>
      <c r="M568" s="21" t="str">
        <f aca="false">IF($A568&gt;PARAMETROS!$C$33,"",IF(C568&lt;70,PARAMETROS!$C$40,IF(C568&lt;75,PARAMETROS!$C$41,IF(C568&lt;80,PARAMETROS!$C$42,IF(C568&lt;85,PARAMETROS!$C$43,IF(C568&lt;90,PARAMETROS!$C$44,PARAMETROS!$C$45))))))</f>
        <v/>
      </c>
      <c r="N568" s="20" t="str">
        <f aca="false">IF($A568&gt;PARAMETROS!$C$33,"",K568+L568)</f>
        <v/>
      </c>
      <c r="O568" s="20" t="str">
        <f aca="false">IF($A568&gt;PARAMETROS!$C$33,"",I568+J568-N568)</f>
        <v/>
      </c>
      <c r="P568" s="20" t="str">
        <f aca="false">IF($A568&gt;PARAMETROS!$C$33,"",MAX(E568+I568+J568-N568,0))</f>
        <v/>
      </c>
      <c r="Q568" s="22" t="str">
        <f aca="false">IF($A568&gt;PARAMETROS!$C$33,"",IF(P568&lt;=0,"AGOTADO","OK"))</f>
        <v/>
      </c>
    </row>
    <row r="569" customFormat="false" ht="15" hidden="false" customHeight="false" outlineLevel="0" collapsed="false">
      <c r="A569" s="19" t="n">
        <f aca="false">A568+1</f>
        <v>567</v>
      </c>
      <c r="B569" s="19" t="n">
        <f aca="false">IF($A569="","",ROUNDUP($A569/12,0))</f>
        <v>48</v>
      </c>
      <c r="C569" s="19" t="n">
        <f aca="false">IF($A569="","",PARAMETROS!$C$6+INT(($A569-1)/12))</f>
        <v>112</v>
      </c>
      <c r="D569" s="19" t="n">
        <f aca="false">IF($A569="","",MOD($A569-1,12)+1)</f>
        <v>3</v>
      </c>
      <c r="E569" s="20" t="str">
        <f aca="false">IF($A569&gt;PARAMETROS!$C$33,"",P568)</f>
        <v/>
      </c>
      <c r="F569" s="21" t="str">
        <f aca="false">IF($A569&gt;PARAMETROS!$C$33,"",PARAMETROS!$C$38)</f>
        <v/>
      </c>
      <c r="G569" s="20" t="str">
        <f aca="false">IF($A569&gt;PARAMETROS!$C$33,"",E569*F569)</f>
        <v/>
      </c>
      <c r="H569" s="20" t="str">
        <f aca="false">IF($A569&gt;PARAMETROS!$C$33,"",E569*PARAMETROS!$C$39)</f>
        <v/>
      </c>
      <c r="I569" s="20" t="str">
        <f aca="false">IF($A569&gt;PARAMETROS!$C$33,"",G569-H569)</f>
        <v/>
      </c>
      <c r="J569" s="20" t="str">
        <f aca="false">IF($A569&gt;PARAMETROS!$C$33,"",PARAMETROS!$C$9*(1+PARAMETROS!$C$17)^(B569-1))</f>
        <v/>
      </c>
      <c r="K569" s="20" t="str">
        <f aca="false">IF($A569&gt;PARAMETROS!$C$33,"",K568*(1+PARAMETROS!$C$36))</f>
        <v/>
      </c>
      <c r="L569" s="20" t="str">
        <f aca="false">IF($A569&gt;PARAMETROS!$C$33,"",L568*(1+PARAMETROS!$C$37)*(1+M569))</f>
        <v/>
      </c>
      <c r="M569" s="21" t="str">
        <f aca="false">IF($A569&gt;PARAMETROS!$C$33,"",IF(C569&lt;70,PARAMETROS!$C$40,IF(C569&lt;75,PARAMETROS!$C$41,IF(C569&lt;80,PARAMETROS!$C$42,IF(C569&lt;85,PARAMETROS!$C$43,IF(C569&lt;90,PARAMETROS!$C$44,PARAMETROS!$C$45))))))</f>
        <v/>
      </c>
      <c r="N569" s="20" t="str">
        <f aca="false">IF($A569&gt;PARAMETROS!$C$33,"",K569+L569)</f>
        <v/>
      </c>
      <c r="O569" s="20" t="str">
        <f aca="false">IF($A569&gt;PARAMETROS!$C$33,"",I569+J569-N569)</f>
        <v/>
      </c>
      <c r="P569" s="20" t="str">
        <f aca="false">IF($A569&gt;PARAMETROS!$C$33,"",MAX(E569+I569+J569-N569,0))</f>
        <v/>
      </c>
      <c r="Q569" s="22" t="str">
        <f aca="false">IF($A569&gt;PARAMETROS!$C$33,"",IF(P569&lt;=0,"AGOTADO","OK"))</f>
        <v/>
      </c>
    </row>
    <row r="570" customFormat="false" ht="15" hidden="false" customHeight="false" outlineLevel="0" collapsed="false">
      <c r="A570" s="19" t="n">
        <f aca="false">A569+1</f>
        <v>568</v>
      </c>
      <c r="B570" s="19" t="n">
        <f aca="false">IF($A570="","",ROUNDUP($A570/12,0))</f>
        <v>48</v>
      </c>
      <c r="C570" s="19" t="n">
        <f aca="false">IF($A570="","",PARAMETROS!$C$6+INT(($A570-1)/12))</f>
        <v>112</v>
      </c>
      <c r="D570" s="19" t="n">
        <f aca="false">IF($A570="","",MOD($A570-1,12)+1)</f>
        <v>4</v>
      </c>
      <c r="E570" s="20" t="str">
        <f aca="false">IF($A570&gt;PARAMETROS!$C$33,"",P569)</f>
        <v/>
      </c>
      <c r="F570" s="21" t="str">
        <f aca="false">IF($A570&gt;PARAMETROS!$C$33,"",PARAMETROS!$C$38)</f>
        <v/>
      </c>
      <c r="G570" s="20" t="str">
        <f aca="false">IF($A570&gt;PARAMETROS!$C$33,"",E570*F570)</f>
        <v/>
      </c>
      <c r="H570" s="20" t="str">
        <f aca="false">IF($A570&gt;PARAMETROS!$C$33,"",E570*PARAMETROS!$C$39)</f>
        <v/>
      </c>
      <c r="I570" s="20" t="str">
        <f aca="false">IF($A570&gt;PARAMETROS!$C$33,"",G570-H570)</f>
        <v/>
      </c>
      <c r="J570" s="20" t="str">
        <f aca="false">IF($A570&gt;PARAMETROS!$C$33,"",PARAMETROS!$C$9*(1+PARAMETROS!$C$17)^(B570-1))</f>
        <v/>
      </c>
      <c r="K570" s="20" t="str">
        <f aca="false">IF($A570&gt;PARAMETROS!$C$33,"",K569*(1+PARAMETROS!$C$36))</f>
        <v/>
      </c>
      <c r="L570" s="20" t="str">
        <f aca="false">IF($A570&gt;PARAMETROS!$C$33,"",L569*(1+PARAMETROS!$C$37)*(1+M570))</f>
        <v/>
      </c>
      <c r="M570" s="21" t="str">
        <f aca="false">IF($A570&gt;PARAMETROS!$C$33,"",IF(C570&lt;70,PARAMETROS!$C$40,IF(C570&lt;75,PARAMETROS!$C$41,IF(C570&lt;80,PARAMETROS!$C$42,IF(C570&lt;85,PARAMETROS!$C$43,IF(C570&lt;90,PARAMETROS!$C$44,PARAMETROS!$C$45))))))</f>
        <v/>
      </c>
      <c r="N570" s="20" t="str">
        <f aca="false">IF($A570&gt;PARAMETROS!$C$33,"",K570+L570)</f>
        <v/>
      </c>
      <c r="O570" s="20" t="str">
        <f aca="false">IF($A570&gt;PARAMETROS!$C$33,"",I570+J570-N570)</f>
        <v/>
      </c>
      <c r="P570" s="20" t="str">
        <f aca="false">IF($A570&gt;PARAMETROS!$C$33,"",MAX(E570+I570+J570-N570,0))</f>
        <v/>
      </c>
      <c r="Q570" s="22" t="str">
        <f aca="false">IF($A570&gt;PARAMETROS!$C$33,"",IF(P570&lt;=0,"AGOTADO","OK"))</f>
        <v/>
      </c>
    </row>
    <row r="571" customFormat="false" ht="15" hidden="false" customHeight="false" outlineLevel="0" collapsed="false">
      <c r="A571" s="19" t="n">
        <f aca="false">A570+1</f>
        <v>569</v>
      </c>
      <c r="B571" s="19" t="n">
        <f aca="false">IF($A571="","",ROUNDUP($A571/12,0))</f>
        <v>48</v>
      </c>
      <c r="C571" s="19" t="n">
        <f aca="false">IF($A571="","",PARAMETROS!$C$6+INT(($A571-1)/12))</f>
        <v>112</v>
      </c>
      <c r="D571" s="19" t="n">
        <f aca="false">IF($A571="","",MOD($A571-1,12)+1)</f>
        <v>5</v>
      </c>
      <c r="E571" s="20" t="str">
        <f aca="false">IF($A571&gt;PARAMETROS!$C$33,"",P570)</f>
        <v/>
      </c>
      <c r="F571" s="21" t="str">
        <f aca="false">IF($A571&gt;PARAMETROS!$C$33,"",PARAMETROS!$C$38)</f>
        <v/>
      </c>
      <c r="G571" s="20" t="str">
        <f aca="false">IF($A571&gt;PARAMETROS!$C$33,"",E571*F571)</f>
        <v/>
      </c>
      <c r="H571" s="20" t="str">
        <f aca="false">IF($A571&gt;PARAMETROS!$C$33,"",E571*PARAMETROS!$C$39)</f>
        <v/>
      </c>
      <c r="I571" s="20" t="str">
        <f aca="false">IF($A571&gt;PARAMETROS!$C$33,"",G571-H571)</f>
        <v/>
      </c>
      <c r="J571" s="20" t="str">
        <f aca="false">IF($A571&gt;PARAMETROS!$C$33,"",PARAMETROS!$C$9*(1+PARAMETROS!$C$17)^(B571-1))</f>
        <v/>
      </c>
      <c r="K571" s="20" t="str">
        <f aca="false">IF($A571&gt;PARAMETROS!$C$33,"",K570*(1+PARAMETROS!$C$36))</f>
        <v/>
      </c>
      <c r="L571" s="20" t="str">
        <f aca="false">IF($A571&gt;PARAMETROS!$C$33,"",L570*(1+PARAMETROS!$C$37)*(1+M571))</f>
        <v/>
      </c>
      <c r="M571" s="21" t="str">
        <f aca="false">IF($A571&gt;PARAMETROS!$C$33,"",IF(C571&lt;70,PARAMETROS!$C$40,IF(C571&lt;75,PARAMETROS!$C$41,IF(C571&lt;80,PARAMETROS!$C$42,IF(C571&lt;85,PARAMETROS!$C$43,IF(C571&lt;90,PARAMETROS!$C$44,PARAMETROS!$C$45))))))</f>
        <v/>
      </c>
      <c r="N571" s="20" t="str">
        <f aca="false">IF($A571&gt;PARAMETROS!$C$33,"",K571+L571)</f>
        <v/>
      </c>
      <c r="O571" s="20" t="str">
        <f aca="false">IF($A571&gt;PARAMETROS!$C$33,"",I571+J571-N571)</f>
        <v/>
      </c>
      <c r="P571" s="20" t="str">
        <f aca="false">IF($A571&gt;PARAMETROS!$C$33,"",MAX(E571+I571+J571-N571,0))</f>
        <v/>
      </c>
      <c r="Q571" s="22" t="str">
        <f aca="false">IF($A571&gt;PARAMETROS!$C$33,"",IF(P571&lt;=0,"AGOTADO","OK"))</f>
        <v/>
      </c>
    </row>
    <row r="572" customFormat="false" ht="15" hidden="false" customHeight="false" outlineLevel="0" collapsed="false">
      <c r="A572" s="19" t="n">
        <f aca="false">A571+1</f>
        <v>570</v>
      </c>
      <c r="B572" s="19" t="n">
        <f aca="false">IF($A572="","",ROUNDUP($A572/12,0))</f>
        <v>48</v>
      </c>
      <c r="C572" s="19" t="n">
        <f aca="false">IF($A572="","",PARAMETROS!$C$6+INT(($A572-1)/12))</f>
        <v>112</v>
      </c>
      <c r="D572" s="19" t="n">
        <f aca="false">IF($A572="","",MOD($A572-1,12)+1)</f>
        <v>6</v>
      </c>
      <c r="E572" s="20" t="str">
        <f aca="false">IF($A572&gt;PARAMETROS!$C$33,"",P571)</f>
        <v/>
      </c>
      <c r="F572" s="21" t="str">
        <f aca="false">IF($A572&gt;PARAMETROS!$C$33,"",PARAMETROS!$C$38)</f>
        <v/>
      </c>
      <c r="G572" s="20" t="str">
        <f aca="false">IF($A572&gt;PARAMETROS!$C$33,"",E572*F572)</f>
        <v/>
      </c>
      <c r="H572" s="20" t="str">
        <f aca="false">IF($A572&gt;PARAMETROS!$C$33,"",E572*PARAMETROS!$C$39)</f>
        <v/>
      </c>
      <c r="I572" s="20" t="str">
        <f aca="false">IF($A572&gt;PARAMETROS!$C$33,"",G572-H572)</f>
        <v/>
      </c>
      <c r="J572" s="20" t="str">
        <f aca="false">IF($A572&gt;PARAMETROS!$C$33,"",PARAMETROS!$C$9*(1+PARAMETROS!$C$17)^(B572-1))</f>
        <v/>
      </c>
      <c r="K572" s="20" t="str">
        <f aca="false">IF($A572&gt;PARAMETROS!$C$33,"",K571*(1+PARAMETROS!$C$36))</f>
        <v/>
      </c>
      <c r="L572" s="20" t="str">
        <f aca="false">IF($A572&gt;PARAMETROS!$C$33,"",L571*(1+PARAMETROS!$C$37)*(1+M572))</f>
        <v/>
      </c>
      <c r="M572" s="21" t="str">
        <f aca="false">IF($A572&gt;PARAMETROS!$C$33,"",IF(C572&lt;70,PARAMETROS!$C$40,IF(C572&lt;75,PARAMETROS!$C$41,IF(C572&lt;80,PARAMETROS!$C$42,IF(C572&lt;85,PARAMETROS!$C$43,IF(C572&lt;90,PARAMETROS!$C$44,PARAMETROS!$C$45))))))</f>
        <v/>
      </c>
      <c r="N572" s="20" t="str">
        <f aca="false">IF($A572&gt;PARAMETROS!$C$33,"",K572+L572)</f>
        <v/>
      </c>
      <c r="O572" s="20" t="str">
        <f aca="false">IF($A572&gt;PARAMETROS!$C$33,"",I572+J572-N572)</f>
        <v/>
      </c>
      <c r="P572" s="20" t="str">
        <f aca="false">IF($A572&gt;PARAMETROS!$C$33,"",MAX(E572+I572+J572-N572,0))</f>
        <v/>
      </c>
      <c r="Q572" s="22" t="str">
        <f aca="false">IF($A572&gt;PARAMETROS!$C$33,"",IF(P572&lt;=0,"AGOTADO","OK"))</f>
        <v/>
      </c>
    </row>
    <row r="573" customFormat="false" ht="15" hidden="false" customHeight="false" outlineLevel="0" collapsed="false">
      <c r="A573" s="19" t="n">
        <f aca="false">A572+1</f>
        <v>571</v>
      </c>
      <c r="B573" s="19" t="n">
        <f aca="false">IF($A573="","",ROUNDUP($A573/12,0))</f>
        <v>48</v>
      </c>
      <c r="C573" s="19" t="n">
        <f aca="false">IF($A573="","",PARAMETROS!$C$6+INT(($A573-1)/12))</f>
        <v>112</v>
      </c>
      <c r="D573" s="19" t="n">
        <f aca="false">IF($A573="","",MOD($A573-1,12)+1)</f>
        <v>7</v>
      </c>
      <c r="E573" s="20" t="str">
        <f aca="false">IF($A573&gt;PARAMETROS!$C$33,"",P572)</f>
        <v/>
      </c>
      <c r="F573" s="21" t="str">
        <f aca="false">IF($A573&gt;PARAMETROS!$C$33,"",PARAMETROS!$C$38)</f>
        <v/>
      </c>
      <c r="G573" s="20" t="str">
        <f aca="false">IF($A573&gt;PARAMETROS!$C$33,"",E573*F573)</f>
        <v/>
      </c>
      <c r="H573" s="20" t="str">
        <f aca="false">IF($A573&gt;PARAMETROS!$C$33,"",E573*PARAMETROS!$C$39)</f>
        <v/>
      </c>
      <c r="I573" s="20" t="str">
        <f aca="false">IF($A573&gt;PARAMETROS!$C$33,"",G573-H573)</f>
        <v/>
      </c>
      <c r="J573" s="20" t="str">
        <f aca="false">IF($A573&gt;PARAMETROS!$C$33,"",PARAMETROS!$C$9*(1+PARAMETROS!$C$17)^(B573-1))</f>
        <v/>
      </c>
      <c r="K573" s="20" t="str">
        <f aca="false">IF($A573&gt;PARAMETROS!$C$33,"",K572*(1+PARAMETROS!$C$36))</f>
        <v/>
      </c>
      <c r="L573" s="20" t="str">
        <f aca="false">IF($A573&gt;PARAMETROS!$C$33,"",L572*(1+PARAMETROS!$C$37)*(1+M573))</f>
        <v/>
      </c>
      <c r="M573" s="21" t="str">
        <f aca="false">IF($A573&gt;PARAMETROS!$C$33,"",IF(C573&lt;70,PARAMETROS!$C$40,IF(C573&lt;75,PARAMETROS!$C$41,IF(C573&lt;80,PARAMETROS!$C$42,IF(C573&lt;85,PARAMETROS!$C$43,IF(C573&lt;90,PARAMETROS!$C$44,PARAMETROS!$C$45))))))</f>
        <v/>
      </c>
      <c r="N573" s="20" t="str">
        <f aca="false">IF($A573&gt;PARAMETROS!$C$33,"",K573+L573)</f>
        <v/>
      </c>
      <c r="O573" s="20" t="str">
        <f aca="false">IF($A573&gt;PARAMETROS!$C$33,"",I573+J573-N573)</f>
        <v/>
      </c>
      <c r="P573" s="20" t="str">
        <f aca="false">IF($A573&gt;PARAMETROS!$C$33,"",MAX(E573+I573+J573-N573,0))</f>
        <v/>
      </c>
      <c r="Q573" s="22" t="str">
        <f aca="false">IF($A573&gt;PARAMETROS!$C$33,"",IF(P573&lt;=0,"AGOTADO","OK"))</f>
        <v/>
      </c>
    </row>
    <row r="574" customFormat="false" ht="15" hidden="false" customHeight="false" outlineLevel="0" collapsed="false">
      <c r="A574" s="19" t="n">
        <f aca="false">A573+1</f>
        <v>572</v>
      </c>
      <c r="B574" s="19" t="n">
        <f aca="false">IF($A574="","",ROUNDUP($A574/12,0))</f>
        <v>48</v>
      </c>
      <c r="C574" s="19" t="n">
        <f aca="false">IF($A574="","",PARAMETROS!$C$6+INT(($A574-1)/12))</f>
        <v>112</v>
      </c>
      <c r="D574" s="19" t="n">
        <f aca="false">IF($A574="","",MOD($A574-1,12)+1)</f>
        <v>8</v>
      </c>
      <c r="E574" s="20" t="str">
        <f aca="false">IF($A574&gt;PARAMETROS!$C$33,"",P573)</f>
        <v/>
      </c>
      <c r="F574" s="21" t="str">
        <f aca="false">IF($A574&gt;PARAMETROS!$C$33,"",PARAMETROS!$C$38)</f>
        <v/>
      </c>
      <c r="G574" s="20" t="str">
        <f aca="false">IF($A574&gt;PARAMETROS!$C$33,"",E574*F574)</f>
        <v/>
      </c>
      <c r="H574" s="20" t="str">
        <f aca="false">IF($A574&gt;PARAMETROS!$C$33,"",E574*PARAMETROS!$C$39)</f>
        <v/>
      </c>
      <c r="I574" s="20" t="str">
        <f aca="false">IF($A574&gt;PARAMETROS!$C$33,"",G574-H574)</f>
        <v/>
      </c>
      <c r="J574" s="20" t="str">
        <f aca="false">IF($A574&gt;PARAMETROS!$C$33,"",PARAMETROS!$C$9*(1+PARAMETROS!$C$17)^(B574-1))</f>
        <v/>
      </c>
      <c r="K574" s="20" t="str">
        <f aca="false">IF($A574&gt;PARAMETROS!$C$33,"",K573*(1+PARAMETROS!$C$36))</f>
        <v/>
      </c>
      <c r="L574" s="20" t="str">
        <f aca="false">IF($A574&gt;PARAMETROS!$C$33,"",L573*(1+PARAMETROS!$C$37)*(1+M574))</f>
        <v/>
      </c>
      <c r="M574" s="21" t="str">
        <f aca="false">IF($A574&gt;PARAMETROS!$C$33,"",IF(C574&lt;70,PARAMETROS!$C$40,IF(C574&lt;75,PARAMETROS!$C$41,IF(C574&lt;80,PARAMETROS!$C$42,IF(C574&lt;85,PARAMETROS!$C$43,IF(C574&lt;90,PARAMETROS!$C$44,PARAMETROS!$C$45))))))</f>
        <v/>
      </c>
      <c r="N574" s="20" t="str">
        <f aca="false">IF($A574&gt;PARAMETROS!$C$33,"",K574+L574)</f>
        <v/>
      </c>
      <c r="O574" s="20" t="str">
        <f aca="false">IF($A574&gt;PARAMETROS!$C$33,"",I574+J574-N574)</f>
        <v/>
      </c>
      <c r="P574" s="20" t="str">
        <f aca="false">IF($A574&gt;PARAMETROS!$C$33,"",MAX(E574+I574+J574-N574,0))</f>
        <v/>
      </c>
      <c r="Q574" s="22" t="str">
        <f aca="false">IF($A574&gt;PARAMETROS!$C$33,"",IF(P574&lt;=0,"AGOTADO","OK"))</f>
        <v/>
      </c>
    </row>
    <row r="575" customFormat="false" ht="15" hidden="false" customHeight="false" outlineLevel="0" collapsed="false">
      <c r="A575" s="19" t="n">
        <f aca="false">A574+1</f>
        <v>573</v>
      </c>
      <c r="B575" s="19" t="n">
        <f aca="false">IF($A575="","",ROUNDUP($A575/12,0))</f>
        <v>48</v>
      </c>
      <c r="C575" s="19" t="n">
        <f aca="false">IF($A575="","",PARAMETROS!$C$6+INT(($A575-1)/12))</f>
        <v>112</v>
      </c>
      <c r="D575" s="19" t="n">
        <f aca="false">IF($A575="","",MOD($A575-1,12)+1)</f>
        <v>9</v>
      </c>
      <c r="E575" s="20" t="str">
        <f aca="false">IF($A575&gt;PARAMETROS!$C$33,"",P574)</f>
        <v/>
      </c>
      <c r="F575" s="21" t="str">
        <f aca="false">IF($A575&gt;PARAMETROS!$C$33,"",PARAMETROS!$C$38)</f>
        <v/>
      </c>
      <c r="G575" s="20" t="str">
        <f aca="false">IF($A575&gt;PARAMETROS!$C$33,"",E575*F575)</f>
        <v/>
      </c>
      <c r="H575" s="20" t="str">
        <f aca="false">IF($A575&gt;PARAMETROS!$C$33,"",E575*PARAMETROS!$C$39)</f>
        <v/>
      </c>
      <c r="I575" s="20" t="str">
        <f aca="false">IF($A575&gt;PARAMETROS!$C$33,"",G575-H575)</f>
        <v/>
      </c>
      <c r="J575" s="20" t="str">
        <f aca="false">IF($A575&gt;PARAMETROS!$C$33,"",PARAMETROS!$C$9*(1+PARAMETROS!$C$17)^(B575-1))</f>
        <v/>
      </c>
      <c r="K575" s="20" t="str">
        <f aca="false">IF($A575&gt;PARAMETROS!$C$33,"",K574*(1+PARAMETROS!$C$36))</f>
        <v/>
      </c>
      <c r="L575" s="20" t="str">
        <f aca="false">IF($A575&gt;PARAMETROS!$C$33,"",L574*(1+PARAMETROS!$C$37)*(1+M575))</f>
        <v/>
      </c>
      <c r="M575" s="21" t="str">
        <f aca="false">IF($A575&gt;PARAMETROS!$C$33,"",IF(C575&lt;70,PARAMETROS!$C$40,IF(C575&lt;75,PARAMETROS!$C$41,IF(C575&lt;80,PARAMETROS!$C$42,IF(C575&lt;85,PARAMETROS!$C$43,IF(C575&lt;90,PARAMETROS!$C$44,PARAMETROS!$C$45))))))</f>
        <v/>
      </c>
      <c r="N575" s="20" t="str">
        <f aca="false">IF($A575&gt;PARAMETROS!$C$33,"",K575+L575)</f>
        <v/>
      </c>
      <c r="O575" s="20" t="str">
        <f aca="false">IF($A575&gt;PARAMETROS!$C$33,"",I575+J575-N575)</f>
        <v/>
      </c>
      <c r="P575" s="20" t="str">
        <f aca="false">IF($A575&gt;PARAMETROS!$C$33,"",MAX(E575+I575+J575-N575,0))</f>
        <v/>
      </c>
      <c r="Q575" s="22" t="str">
        <f aca="false">IF($A575&gt;PARAMETROS!$C$33,"",IF(P575&lt;=0,"AGOTADO","OK"))</f>
        <v/>
      </c>
    </row>
    <row r="576" customFormat="false" ht="15" hidden="false" customHeight="false" outlineLevel="0" collapsed="false">
      <c r="A576" s="19" t="n">
        <f aca="false">A575+1</f>
        <v>574</v>
      </c>
      <c r="B576" s="19" t="n">
        <f aca="false">IF($A576="","",ROUNDUP($A576/12,0))</f>
        <v>48</v>
      </c>
      <c r="C576" s="19" t="n">
        <f aca="false">IF($A576="","",PARAMETROS!$C$6+INT(($A576-1)/12))</f>
        <v>112</v>
      </c>
      <c r="D576" s="19" t="n">
        <f aca="false">IF($A576="","",MOD($A576-1,12)+1)</f>
        <v>10</v>
      </c>
      <c r="E576" s="20" t="str">
        <f aca="false">IF($A576&gt;PARAMETROS!$C$33,"",P575)</f>
        <v/>
      </c>
      <c r="F576" s="21" t="str">
        <f aca="false">IF($A576&gt;PARAMETROS!$C$33,"",PARAMETROS!$C$38)</f>
        <v/>
      </c>
      <c r="G576" s="20" t="str">
        <f aca="false">IF($A576&gt;PARAMETROS!$C$33,"",E576*F576)</f>
        <v/>
      </c>
      <c r="H576" s="20" t="str">
        <f aca="false">IF($A576&gt;PARAMETROS!$C$33,"",E576*PARAMETROS!$C$39)</f>
        <v/>
      </c>
      <c r="I576" s="20" t="str">
        <f aca="false">IF($A576&gt;PARAMETROS!$C$33,"",G576-H576)</f>
        <v/>
      </c>
      <c r="J576" s="20" t="str">
        <f aca="false">IF($A576&gt;PARAMETROS!$C$33,"",PARAMETROS!$C$9*(1+PARAMETROS!$C$17)^(B576-1))</f>
        <v/>
      </c>
      <c r="K576" s="20" t="str">
        <f aca="false">IF($A576&gt;PARAMETROS!$C$33,"",K575*(1+PARAMETROS!$C$36))</f>
        <v/>
      </c>
      <c r="L576" s="20" t="str">
        <f aca="false">IF($A576&gt;PARAMETROS!$C$33,"",L575*(1+PARAMETROS!$C$37)*(1+M576))</f>
        <v/>
      </c>
      <c r="M576" s="21" t="str">
        <f aca="false">IF($A576&gt;PARAMETROS!$C$33,"",IF(C576&lt;70,PARAMETROS!$C$40,IF(C576&lt;75,PARAMETROS!$C$41,IF(C576&lt;80,PARAMETROS!$C$42,IF(C576&lt;85,PARAMETROS!$C$43,IF(C576&lt;90,PARAMETROS!$C$44,PARAMETROS!$C$45))))))</f>
        <v/>
      </c>
      <c r="N576" s="20" t="str">
        <f aca="false">IF($A576&gt;PARAMETROS!$C$33,"",K576+L576)</f>
        <v/>
      </c>
      <c r="O576" s="20" t="str">
        <f aca="false">IF($A576&gt;PARAMETROS!$C$33,"",I576+J576-N576)</f>
        <v/>
      </c>
      <c r="P576" s="20" t="str">
        <f aca="false">IF($A576&gt;PARAMETROS!$C$33,"",MAX(E576+I576+J576-N576,0))</f>
        <v/>
      </c>
      <c r="Q576" s="22" t="str">
        <f aca="false">IF($A576&gt;PARAMETROS!$C$33,"",IF(P576&lt;=0,"AGOTADO","OK"))</f>
        <v/>
      </c>
    </row>
    <row r="577" customFormat="false" ht="15" hidden="false" customHeight="false" outlineLevel="0" collapsed="false">
      <c r="A577" s="19" t="n">
        <f aca="false">A576+1</f>
        <v>575</v>
      </c>
      <c r="B577" s="19" t="n">
        <f aca="false">IF($A577="","",ROUNDUP($A577/12,0))</f>
        <v>48</v>
      </c>
      <c r="C577" s="19" t="n">
        <f aca="false">IF($A577="","",PARAMETROS!$C$6+INT(($A577-1)/12))</f>
        <v>112</v>
      </c>
      <c r="D577" s="19" t="n">
        <f aca="false">IF($A577="","",MOD($A577-1,12)+1)</f>
        <v>11</v>
      </c>
      <c r="E577" s="20" t="str">
        <f aca="false">IF($A577&gt;PARAMETROS!$C$33,"",P576)</f>
        <v/>
      </c>
      <c r="F577" s="21" t="str">
        <f aca="false">IF($A577&gt;PARAMETROS!$C$33,"",PARAMETROS!$C$38)</f>
        <v/>
      </c>
      <c r="G577" s="20" t="str">
        <f aca="false">IF($A577&gt;PARAMETROS!$C$33,"",E577*F577)</f>
        <v/>
      </c>
      <c r="H577" s="20" t="str">
        <f aca="false">IF($A577&gt;PARAMETROS!$C$33,"",E577*PARAMETROS!$C$39)</f>
        <v/>
      </c>
      <c r="I577" s="20" t="str">
        <f aca="false">IF($A577&gt;PARAMETROS!$C$33,"",G577-H577)</f>
        <v/>
      </c>
      <c r="J577" s="20" t="str">
        <f aca="false">IF($A577&gt;PARAMETROS!$C$33,"",PARAMETROS!$C$9*(1+PARAMETROS!$C$17)^(B577-1))</f>
        <v/>
      </c>
      <c r="K577" s="20" t="str">
        <f aca="false">IF($A577&gt;PARAMETROS!$C$33,"",K576*(1+PARAMETROS!$C$36))</f>
        <v/>
      </c>
      <c r="L577" s="20" t="str">
        <f aca="false">IF($A577&gt;PARAMETROS!$C$33,"",L576*(1+PARAMETROS!$C$37)*(1+M577))</f>
        <v/>
      </c>
      <c r="M577" s="21" t="str">
        <f aca="false">IF($A577&gt;PARAMETROS!$C$33,"",IF(C577&lt;70,PARAMETROS!$C$40,IF(C577&lt;75,PARAMETROS!$C$41,IF(C577&lt;80,PARAMETROS!$C$42,IF(C577&lt;85,PARAMETROS!$C$43,IF(C577&lt;90,PARAMETROS!$C$44,PARAMETROS!$C$45))))))</f>
        <v/>
      </c>
      <c r="N577" s="20" t="str">
        <f aca="false">IF($A577&gt;PARAMETROS!$C$33,"",K577+L577)</f>
        <v/>
      </c>
      <c r="O577" s="20" t="str">
        <f aca="false">IF($A577&gt;PARAMETROS!$C$33,"",I577+J577-N577)</f>
        <v/>
      </c>
      <c r="P577" s="20" t="str">
        <f aca="false">IF($A577&gt;PARAMETROS!$C$33,"",MAX(E577+I577+J577-N577,0))</f>
        <v/>
      </c>
      <c r="Q577" s="22" t="str">
        <f aca="false">IF($A577&gt;PARAMETROS!$C$33,"",IF(P577&lt;=0,"AGOTADO","OK"))</f>
        <v/>
      </c>
    </row>
    <row r="578" customFormat="false" ht="15" hidden="false" customHeight="false" outlineLevel="0" collapsed="false">
      <c r="A578" s="19" t="n">
        <f aca="false">A577+1</f>
        <v>576</v>
      </c>
      <c r="B578" s="19" t="n">
        <f aca="false">IF($A578="","",ROUNDUP($A578/12,0))</f>
        <v>48</v>
      </c>
      <c r="C578" s="19" t="n">
        <f aca="false">IF($A578="","",PARAMETROS!$C$6+INT(($A578-1)/12))</f>
        <v>112</v>
      </c>
      <c r="D578" s="19" t="n">
        <f aca="false">IF($A578="","",MOD($A578-1,12)+1)</f>
        <v>12</v>
      </c>
      <c r="E578" s="20" t="str">
        <f aca="false">IF($A578&gt;PARAMETROS!$C$33,"",P577)</f>
        <v/>
      </c>
      <c r="F578" s="21" t="str">
        <f aca="false">IF($A578&gt;PARAMETROS!$C$33,"",PARAMETROS!$C$38)</f>
        <v/>
      </c>
      <c r="G578" s="20" t="str">
        <f aca="false">IF($A578&gt;PARAMETROS!$C$33,"",E578*F578)</f>
        <v/>
      </c>
      <c r="H578" s="20" t="str">
        <f aca="false">IF($A578&gt;PARAMETROS!$C$33,"",E578*PARAMETROS!$C$39)</f>
        <v/>
      </c>
      <c r="I578" s="20" t="str">
        <f aca="false">IF($A578&gt;PARAMETROS!$C$33,"",G578-H578)</f>
        <v/>
      </c>
      <c r="J578" s="20" t="str">
        <f aca="false">IF($A578&gt;PARAMETROS!$C$33,"",PARAMETROS!$C$9*(1+PARAMETROS!$C$17)^(B578-1))</f>
        <v/>
      </c>
      <c r="K578" s="20" t="str">
        <f aca="false">IF($A578&gt;PARAMETROS!$C$33,"",K577*(1+PARAMETROS!$C$36))</f>
        <v/>
      </c>
      <c r="L578" s="20" t="str">
        <f aca="false">IF($A578&gt;PARAMETROS!$C$33,"",L577*(1+PARAMETROS!$C$37)*(1+M578))</f>
        <v/>
      </c>
      <c r="M578" s="21" t="str">
        <f aca="false">IF($A578&gt;PARAMETROS!$C$33,"",IF(C578&lt;70,PARAMETROS!$C$40,IF(C578&lt;75,PARAMETROS!$C$41,IF(C578&lt;80,PARAMETROS!$C$42,IF(C578&lt;85,PARAMETROS!$C$43,IF(C578&lt;90,PARAMETROS!$C$44,PARAMETROS!$C$45))))))</f>
        <v/>
      </c>
      <c r="N578" s="20" t="str">
        <f aca="false">IF($A578&gt;PARAMETROS!$C$33,"",K578+L578)</f>
        <v/>
      </c>
      <c r="O578" s="20" t="str">
        <f aca="false">IF($A578&gt;PARAMETROS!$C$33,"",I578+J578-N578)</f>
        <v/>
      </c>
      <c r="P578" s="20" t="str">
        <f aca="false">IF($A578&gt;PARAMETROS!$C$33,"",MAX(E578+I578+J578-N578,0))</f>
        <v/>
      </c>
      <c r="Q578" s="22" t="str">
        <f aca="false">IF($A578&gt;PARAMETROS!$C$33,"",IF(P578&lt;=0,"AGOTADO","OK"))</f>
        <v/>
      </c>
    </row>
    <row r="579" customFormat="false" ht="15" hidden="false" customHeight="false" outlineLevel="0" collapsed="false">
      <c r="A579" s="15" t="n">
        <f aca="false">A578+1</f>
        <v>577</v>
      </c>
      <c r="B579" s="15" t="n">
        <f aca="false">IF($A579="","",ROUNDUP($A579/12,0))</f>
        <v>49</v>
      </c>
      <c r="C579" s="15" t="n">
        <f aca="false">IF($A579="","",PARAMETROS!$C$6+INT(($A579-1)/12))</f>
        <v>113</v>
      </c>
      <c r="D579" s="15" t="n">
        <f aca="false">IF($A579="","",MOD($A579-1,12)+1)</f>
        <v>1</v>
      </c>
      <c r="E579" s="16" t="str">
        <f aca="false">IF($A579&gt;PARAMETROS!$C$33,"",P578)</f>
        <v/>
      </c>
      <c r="F579" s="17" t="str">
        <f aca="false">IF($A579&gt;PARAMETROS!$C$33,"",PARAMETROS!$C$38)</f>
        <v/>
      </c>
      <c r="G579" s="16" t="str">
        <f aca="false">IF($A579&gt;PARAMETROS!$C$33,"",E579*F579)</f>
        <v/>
      </c>
      <c r="H579" s="16" t="str">
        <f aca="false">IF($A579&gt;PARAMETROS!$C$33,"",E579*PARAMETROS!$C$39)</f>
        <v/>
      </c>
      <c r="I579" s="16" t="str">
        <f aca="false">IF($A579&gt;PARAMETROS!$C$33,"",G579-H579)</f>
        <v/>
      </c>
      <c r="J579" s="16" t="str">
        <f aca="false">IF($A579&gt;PARAMETROS!$C$33,"",PARAMETROS!$C$9*(1+PARAMETROS!$C$17)^(B579-1))</f>
        <v/>
      </c>
      <c r="K579" s="16" t="str">
        <f aca="false">IF($A579&gt;PARAMETROS!$C$33,"",K578*(1+PARAMETROS!$C$36))</f>
        <v/>
      </c>
      <c r="L579" s="16" t="str">
        <f aca="false">IF($A579&gt;PARAMETROS!$C$33,"",L578*(1+PARAMETROS!$C$37)*(1+M579))</f>
        <v/>
      </c>
      <c r="M579" s="17" t="str">
        <f aca="false">IF($A579&gt;PARAMETROS!$C$33,"",IF(C579&lt;70,PARAMETROS!$C$40,IF(C579&lt;75,PARAMETROS!$C$41,IF(C579&lt;80,PARAMETROS!$C$42,IF(C579&lt;85,PARAMETROS!$C$43,IF(C579&lt;90,PARAMETROS!$C$44,PARAMETROS!$C$45))))))</f>
        <v/>
      </c>
      <c r="N579" s="16" t="str">
        <f aca="false">IF($A579&gt;PARAMETROS!$C$33,"",K579+L579)</f>
        <v/>
      </c>
      <c r="O579" s="16" t="str">
        <f aca="false">IF($A579&gt;PARAMETROS!$C$33,"",I579+J579-N579)</f>
        <v/>
      </c>
      <c r="P579" s="16" t="str">
        <f aca="false">IF($A579&gt;PARAMETROS!$C$33,"",MAX(E579+I579+J579-N579,0))</f>
        <v/>
      </c>
      <c r="Q579" s="18" t="str">
        <f aca="false">IF($A579&gt;PARAMETROS!$C$33,"",IF(P579&lt;=0,"AGOTADO","OK"))</f>
        <v/>
      </c>
    </row>
    <row r="580" customFormat="false" ht="15" hidden="false" customHeight="false" outlineLevel="0" collapsed="false">
      <c r="A580" s="15" t="n">
        <f aca="false">A579+1</f>
        <v>578</v>
      </c>
      <c r="B580" s="15" t="n">
        <f aca="false">IF($A580="","",ROUNDUP($A580/12,0))</f>
        <v>49</v>
      </c>
      <c r="C580" s="15" t="n">
        <f aca="false">IF($A580="","",PARAMETROS!$C$6+INT(($A580-1)/12))</f>
        <v>113</v>
      </c>
      <c r="D580" s="15" t="n">
        <f aca="false">IF($A580="","",MOD($A580-1,12)+1)</f>
        <v>2</v>
      </c>
      <c r="E580" s="16" t="str">
        <f aca="false">IF($A580&gt;PARAMETROS!$C$33,"",P579)</f>
        <v/>
      </c>
      <c r="F580" s="17" t="str">
        <f aca="false">IF($A580&gt;PARAMETROS!$C$33,"",PARAMETROS!$C$38)</f>
        <v/>
      </c>
      <c r="G580" s="16" t="str">
        <f aca="false">IF($A580&gt;PARAMETROS!$C$33,"",E580*F580)</f>
        <v/>
      </c>
      <c r="H580" s="16" t="str">
        <f aca="false">IF($A580&gt;PARAMETROS!$C$33,"",E580*PARAMETROS!$C$39)</f>
        <v/>
      </c>
      <c r="I580" s="16" t="str">
        <f aca="false">IF($A580&gt;PARAMETROS!$C$33,"",G580-H580)</f>
        <v/>
      </c>
      <c r="J580" s="16" t="str">
        <f aca="false">IF($A580&gt;PARAMETROS!$C$33,"",PARAMETROS!$C$9*(1+PARAMETROS!$C$17)^(B580-1))</f>
        <v/>
      </c>
      <c r="K580" s="16" t="str">
        <f aca="false">IF($A580&gt;PARAMETROS!$C$33,"",K579*(1+PARAMETROS!$C$36))</f>
        <v/>
      </c>
      <c r="L580" s="16" t="str">
        <f aca="false">IF($A580&gt;PARAMETROS!$C$33,"",L579*(1+PARAMETROS!$C$37)*(1+M580))</f>
        <v/>
      </c>
      <c r="M580" s="17" t="str">
        <f aca="false">IF($A580&gt;PARAMETROS!$C$33,"",IF(C580&lt;70,PARAMETROS!$C$40,IF(C580&lt;75,PARAMETROS!$C$41,IF(C580&lt;80,PARAMETROS!$C$42,IF(C580&lt;85,PARAMETROS!$C$43,IF(C580&lt;90,PARAMETROS!$C$44,PARAMETROS!$C$45))))))</f>
        <v/>
      </c>
      <c r="N580" s="16" t="str">
        <f aca="false">IF($A580&gt;PARAMETROS!$C$33,"",K580+L580)</f>
        <v/>
      </c>
      <c r="O580" s="16" t="str">
        <f aca="false">IF($A580&gt;PARAMETROS!$C$33,"",I580+J580-N580)</f>
        <v/>
      </c>
      <c r="P580" s="16" t="str">
        <f aca="false">IF($A580&gt;PARAMETROS!$C$33,"",MAX(E580+I580+J580-N580,0))</f>
        <v/>
      </c>
      <c r="Q580" s="18" t="str">
        <f aca="false">IF($A580&gt;PARAMETROS!$C$33,"",IF(P580&lt;=0,"AGOTADO","OK"))</f>
        <v/>
      </c>
    </row>
    <row r="581" customFormat="false" ht="15" hidden="false" customHeight="false" outlineLevel="0" collapsed="false">
      <c r="A581" s="15" t="n">
        <f aca="false">A580+1</f>
        <v>579</v>
      </c>
      <c r="B581" s="15" t="n">
        <f aca="false">IF($A581="","",ROUNDUP($A581/12,0))</f>
        <v>49</v>
      </c>
      <c r="C581" s="15" t="n">
        <f aca="false">IF($A581="","",PARAMETROS!$C$6+INT(($A581-1)/12))</f>
        <v>113</v>
      </c>
      <c r="D581" s="15" t="n">
        <f aca="false">IF($A581="","",MOD($A581-1,12)+1)</f>
        <v>3</v>
      </c>
      <c r="E581" s="16" t="str">
        <f aca="false">IF($A581&gt;PARAMETROS!$C$33,"",P580)</f>
        <v/>
      </c>
      <c r="F581" s="17" t="str">
        <f aca="false">IF($A581&gt;PARAMETROS!$C$33,"",PARAMETROS!$C$38)</f>
        <v/>
      </c>
      <c r="G581" s="16" t="str">
        <f aca="false">IF($A581&gt;PARAMETROS!$C$33,"",E581*F581)</f>
        <v/>
      </c>
      <c r="H581" s="16" t="str">
        <f aca="false">IF($A581&gt;PARAMETROS!$C$33,"",E581*PARAMETROS!$C$39)</f>
        <v/>
      </c>
      <c r="I581" s="16" t="str">
        <f aca="false">IF($A581&gt;PARAMETROS!$C$33,"",G581-H581)</f>
        <v/>
      </c>
      <c r="J581" s="16" t="str">
        <f aca="false">IF($A581&gt;PARAMETROS!$C$33,"",PARAMETROS!$C$9*(1+PARAMETROS!$C$17)^(B581-1))</f>
        <v/>
      </c>
      <c r="K581" s="16" t="str">
        <f aca="false">IF($A581&gt;PARAMETROS!$C$33,"",K580*(1+PARAMETROS!$C$36))</f>
        <v/>
      </c>
      <c r="L581" s="16" t="str">
        <f aca="false">IF($A581&gt;PARAMETROS!$C$33,"",L580*(1+PARAMETROS!$C$37)*(1+M581))</f>
        <v/>
      </c>
      <c r="M581" s="17" t="str">
        <f aca="false">IF($A581&gt;PARAMETROS!$C$33,"",IF(C581&lt;70,PARAMETROS!$C$40,IF(C581&lt;75,PARAMETROS!$C$41,IF(C581&lt;80,PARAMETROS!$C$42,IF(C581&lt;85,PARAMETROS!$C$43,IF(C581&lt;90,PARAMETROS!$C$44,PARAMETROS!$C$45))))))</f>
        <v/>
      </c>
      <c r="N581" s="16" t="str">
        <f aca="false">IF($A581&gt;PARAMETROS!$C$33,"",K581+L581)</f>
        <v/>
      </c>
      <c r="O581" s="16" t="str">
        <f aca="false">IF($A581&gt;PARAMETROS!$C$33,"",I581+J581-N581)</f>
        <v/>
      </c>
      <c r="P581" s="16" t="str">
        <f aca="false">IF($A581&gt;PARAMETROS!$C$33,"",MAX(E581+I581+J581-N581,0))</f>
        <v/>
      </c>
      <c r="Q581" s="18" t="str">
        <f aca="false">IF($A581&gt;PARAMETROS!$C$33,"",IF(P581&lt;=0,"AGOTADO","OK"))</f>
        <v/>
      </c>
    </row>
    <row r="582" customFormat="false" ht="15" hidden="false" customHeight="false" outlineLevel="0" collapsed="false">
      <c r="A582" s="15" t="n">
        <f aca="false">A581+1</f>
        <v>580</v>
      </c>
      <c r="B582" s="15" t="n">
        <f aca="false">IF($A582="","",ROUNDUP($A582/12,0))</f>
        <v>49</v>
      </c>
      <c r="C582" s="15" t="n">
        <f aca="false">IF($A582="","",PARAMETROS!$C$6+INT(($A582-1)/12))</f>
        <v>113</v>
      </c>
      <c r="D582" s="15" t="n">
        <f aca="false">IF($A582="","",MOD($A582-1,12)+1)</f>
        <v>4</v>
      </c>
      <c r="E582" s="16" t="str">
        <f aca="false">IF($A582&gt;PARAMETROS!$C$33,"",P581)</f>
        <v/>
      </c>
      <c r="F582" s="17" t="str">
        <f aca="false">IF($A582&gt;PARAMETROS!$C$33,"",PARAMETROS!$C$38)</f>
        <v/>
      </c>
      <c r="G582" s="16" t="str">
        <f aca="false">IF($A582&gt;PARAMETROS!$C$33,"",E582*F582)</f>
        <v/>
      </c>
      <c r="H582" s="16" t="str">
        <f aca="false">IF($A582&gt;PARAMETROS!$C$33,"",E582*PARAMETROS!$C$39)</f>
        <v/>
      </c>
      <c r="I582" s="16" t="str">
        <f aca="false">IF($A582&gt;PARAMETROS!$C$33,"",G582-H582)</f>
        <v/>
      </c>
      <c r="J582" s="16" t="str">
        <f aca="false">IF($A582&gt;PARAMETROS!$C$33,"",PARAMETROS!$C$9*(1+PARAMETROS!$C$17)^(B582-1))</f>
        <v/>
      </c>
      <c r="K582" s="16" t="str">
        <f aca="false">IF($A582&gt;PARAMETROS!$C$33,"",K581*(1+PARAMETROS!$C$36))</f>
        <v/>
      </c>
      <c r="L582" s="16" t="str">
        <f aca="false">IF($A582&gt;PARAMETROS!$C$33,"",L581*(1+PARAMETROS!$C$37)*(1+M582))</f>
        <v/>
      </c>
      <c r="M582" s="17" t="str">
        <f aca="false">IF($A582&gt;PARAMETROS!$C$33,"",IF(C582&lt;70,PARAMETROS!$C$40,IF(C582&lt;75,PARAMETROS!$C$41,IF(C582&lt;80,PARAMETROS!$C$42,IF(C582&lt;85,PARAMETROS!$C$43,IF(C582&lt;90,PARAMETROS!$C$44,PARAMETROS!$C$45))))))</f>
        <v/>
      </c>
      <c r="N582" s="16" t="str">
        <f aca="false">IF($A582&gt;PARAMETROS!$C$33,"",K582+L582)</f>
        <v/>
      </c>
      <c r="O582" s="16" t="str">
        <f aca="false">IF($A582&gt;PARAMETROS!$C$33,"",I582+J582-N582)</f>
        <v/>
      </c>
      <c r="P582" s="16" t="str">
        <f aca="false">IF($A582&gt;PARAMETROS!$C$33,"",MAX(E582+I582+J582-N582,0))</f>
        <v/>
      </c>
      <c r="Q582" s="18" t="str">
        <f aca="false">IF($A582&gt;PARAMETROS!$C$33,"",IF(P582&lt;=0,"AGOTADO","OK"))</f>
        <v/>
      </c>
    </row>
    <row r="583" customFormat="false" ht="15" hidden="false" customHeight="false" outlineLevel="0" collapsed="false">
      <c r="A583" s="15" t="n">
        <f aca="false">A582+1</f>
        <v>581</v>
      </c>
      <c r="B583" s="15" t="n">
        <f aca="false">IF($A583="","",ROUNDUP($A583/12,0))</f>
        <v>49</v>
      </c>
      <c r="C583" s="15" t="n">
        <f aca="false">IF($A583="","",PARAMETROS!$C$6+INT(($A583-1)/12))</f>
        <v>113</v>
      </c>
      <c r="D583" s="15" t="n">
        <f aca="false">IF($A583="","",MOD($A583-1,12)+1)</f>
        <v>5</v>
      </c>
      <c r="E583" s="16" t="str">
        <f aca="false">IF($A583&gt;PARAMETROS!$C$33,"",P582)</f>
        <v/>
      </c>
      <c r="F583" s="17" t="str">
        <f aca="false">IF($A583&gt;PARAMETROS!$C$33,"",PARAMETROS!$C$38)</f>
        <v/>
      </c>
      <c r="G583" s="16" t="str">
        <f aca="false">IF($A583&gt;PARAMETROS!$C$33,"",E583*F583)</f>
        <v/>
      </c>
      <c r="H583" s="16" t="str">
        <f aca="false">IF($A583&gt;PARAMETROS!$C$33,"",E583*PARAMETROS!$C$39)</f>
        <v/>
      </c>
      <c r="I583" s="16" t="str">
        <f aca="false">IF($A583&gt;PARAMETROS!$C$33,"",G583-H583)</f>
        <v/>
      </c>
      <c r="J583" s="16" t="str">
        <f aca="false">IF($A583&gt;PARAMETROS!$C$33,"",PARAMETROS!$C$9*(1+PARAMETROS!$C$17)^(B583-1))</f>
        <v/>
      </c>
      <c r="K583" s="16" t="str">
        <f aca="false">IF($A583&gt;PARAMETROS!$C$33,"",K582*(1+PARAMETROS!$C$36))</f>
        <v/>
      </c>
      <c r="L583" s="16" t="str">
        <f aca="false">IF($A583&gt;PARAMETROS!$C$33,"",L582*(1+PARAMETROS!$C$37)*(1+M583))</f>
        <v/>
      </c>
      <c r="M583" s="17" t="str">
        <f aca="false">IF($A583&gt;PARAMETROS!$C$33,"",IF(C583&lt;70,PARAMETROS!$C$40,IF(C583&lt;75,PARAMETROS!$C$41,IF(C583&lt;80,PARAMETROS!$C$42,IF(C583&lt;85,PARAMETROS!$C$43,IF(C583&lt;90,PARAMETROS!$C$44,PARAMETROS!$C$45))))))</f>
        <v/>
      </c>
      <c r="N583" s="16" t="str">
        <f aca="false">IF($A583&gt;PARAMETROS!$C$33,"",K583+L583)</f>
        <v/>
      </c>
      <c r="O583" s="16" t="str">
        <f aca="false">IF($A583&gt;PARAMETROS!$C$33,"",I583+J583-N583)</f>
        <v/>
      </c>
      <c r="P583" s="16" t="str">
        <f aca="false">IF($A583&gt;PARAMETROS!$C$33,"",MAX(E583+I583+J583-N583,0))</f>
        <v/>
      </c>
      <c r="Q583" s="18" t="str">
        <f aca="false">IF($A583&gt;PARAMETROS!$C$33,"",IF(P583&lt;=0,"AGOTADO","OK"))</f>
        <v/>
      </c>
    </row>
    <row r="584" customFormat="false" ht="15" hidden="false" customHeight="false" outlineLevel="0" collapsed="false">
      <c r="A584" s="15" t="n">
        <f aca="false">A583+1</f>
        <v>582</v>
      </c>
      <c r="B584" s="15" t="n">
        <f aca="false">IF($A584="","",ROUNDUP($A584/12,0))</f>
        <v>49</v>
      </c>
      <c r="C584" s="15" t="n">
        <f aca="false">IF($A584="","",PARAMETROS!$C$6+INT(($A584-1)/12))</f>
        <v>113</v>
      </c>
      <c r="D584" s="15" t="n">
        <f aca="false">IF($A584="","",MOD($A584-1,12)+1)</f>
        <v>6</v>
      </c>
      <c r="E584" s="16" t="str">
        <f aca="false">IF($A584&gt;PARAMETROS!$C$33,"",P583)</f>
        <v/>
      </c>
      <c r="F584" s="17" t="str">
        <f aca="false">IF($A584&gt;PARAMETROS!$C$33,"",PARAMETROS!$C$38)</f>
        <v/>
      </c>
      <c r="G584" s="16" t="str">
        <f aca="false">IF($A584&gt;PARAMETROS!$C$33,"",E584*F584)</f>
        <v/>
      </c>
      <c r="H584" s="16" t="str">
        <f aca="false">IF($A584&gt;PARAMETROS!$C$33,"",E584*PARAMETROS!$C$39)</f>
        <v/>
      </c>
      <c r="I584" s="16" t="str">
        <f aca="false">IF($A584&gt;PARAMETROS!$C$33,"",G584-H584)</f>
        <v/>
      </c>
      <c r="J584" s="16" t="str">
        <f aca="false">IF($A584&gt;PARAMETROS!$C$33,"",PARAMETROS!$C$9*(1+PARAMETROS!$C$17)^(B584-1))</f>
        <v/>
      </c>
      <c r="K584" s="16" t="str">
        <f aca="false">IF($A584&gt;PARAMETROS!$C$33,"",K583*(1+PARAMETROS!$C$36))</f>
        <v/>
      </c>
      <c r="L584" s="16" t="str">
        <f aca="false">IF($A584&gt;PARAMETROS!$C$33,"",L583*(1+PARAMETROS!$C$37)*(1+M584))</f>
        <v/>
      </c>
      <c r="M584" s="17" t="str">
        <f aca="false">IF($A584&gt;PARAMETROS!$C$33,"",IF(C584&lt;70,PARAMETROS!$C$40,IF(C584&lt;75,PARAMETROS!$C$41,IF(C584&lt;80,PARAMETROS!$C$42,IF(C584&lt;85,PARAMETROS!$C$43,IF(C584&lt;90,PARAMETROS!$C$44,PARAMETROS!$C$45))))))</f>
        <v/>
      </c>
      <c r="N584" s="16" t="str">
        <f aca="false">IF($A584&gt;PARAMETROS!$C$33,"",K584+L584)</f>
        <v/>
      </c>
      <c r="O584" s="16" t="str">
        <f aca="false">IF($A584&gt;PARAMETROS!$C$33,"",I584+J584-N584)</f>
        <v/>
      </c>
      <c r="P584" s="16" t="str">
        <f aca="false">IF($A584&gt;PARAMETROS!$C$33,"",MAX(E584+I584+J584-N584,0))</f>
        <v/>
      </c>
      <c r="Q584" s="18" t="str">
        <f aca="false">IF($A584&gt;PARAMETROS!$C$33,"",IF(P584&lt;=0,"AGOTADO","OK"))</f>
        <v/>
      </c>
    </row>
    <row r="585" customFormat="false" ht="15" hidden="false" customHeight="false" outlineLevel="0" collapsed="false">
      <c r="A585" s="15" t="n">
        <f aca="false">A584+1</f>
        <v>583</v>
      </c>
      <c r="B585" s="15" t="n">
        <f aca="false">IF($A585="","",ROUNDUP($A585/12,0))</f>
        <v>49</v>
      </c>
      <c r="C585" s="15" t="n">
        <f aca="false">IF($A585="","",PARAMETROS!$C$6+INT(($A585-1)/12))</f>
        <v>113</v>
      </c>
      <c r="D585" s="15" t="n">
        <f aca="false">IF($A585="","",MOD($A585-1,12)+1)</f>
        <v>7</v>
      </c>
      <c r="E585" s="16" t="str">
        <f aca="false">IF($A585&gt;PARAMETROS!$C$33,"",P584)</f>
        <v/>
      </c>
      <c r="F585" s="17" t="str">
        <f aca="false">IF($A585&gt;PARAMETROS!$C$33,"",PARAMETROS!$C$38)</f>
        <v/>
      </c>
      <c r="G585" s="16" t="str">
        <f aca="false">IF($A585&gt;PARAMETROS!$C$33,"",E585*F585)</f>
        <v/>
      </c>
      <c r="H585" s="16" t="str">
        <f aca="false">IF($A585&gt;PARAMETROS!$C$33,"",E585*PARAMETROS!$C$39)</f>
        <v/>
      </c>
      <c r="I585" s="16" t="str">
        <f aca="false">IF($A585&gt;PARAMETROS!$C$33,"",G585-H585)</f>
        <v/>
      </c>
      <c r="J585" s="16" t="str">
        <f aca="false">IF($A585&gt;PARAMETROS!$C$33,"",PARAMETROS!$C$9*(1+PARAMETROS!$C$17)^(B585-1))</f>
        <v/>
      </c>
      <c r="K585" s="16" t="str">
        <f aca="false">IF($A585&gt;PARAMETROS!$C$33,"",K584*(1+PARAMETROS!$C$36))</f>
        <v/>
      </c>
      <c r="L585" s="16" t="str">
        <f aca="false">IF($A585&gt;PARAMETROS!$C$33,"",L584*(1+PARAMETROS!$C$37)*(1+M585))</f>
        <v/>
      </c>
      <c r="M585" s="17" t="str">
        <f aca="false">IF($A585&gt;PARAMETROS!$C$33,"",IF(C585&lt;70,PARAMETROS!$C$40,IF(C585&lt;75,PARAMETROS!$C$41,IF(C585&lt;80,PARAMETROS!$C$42,IF(C585&lt;85,PARAMETROS!$C$43,IF(C585&lt;90,PARAMETROS!$C$44,PARAMETROS!$C$45))))))</f>
        <v/>
      </c>
      <c r="N585" s="16" t="str">
        <f aca="false">IF($A585&gt;PARAMETROS!$C$33,"",K585+L585)</f>
        <v/>
      </c>
      <c r="O585" s="16" t="str">
        <f aca="false">IF($A585&gt;PARAMETROS!$C$33,"",I585+J585-N585)</f>
        <v/>
      </c>
      <c r="P585" s="16" t="str">
        <f aca="false">IF($A585&gt;PARAMETROS!$C$33,"",MAX(E585+I585+J585-N585,0))</f>
        <v/>
      </c>
      <c r="Q585" s="18" t="str">
        <f aca="false">IF($A585&gt;PARAMETROS!$C$33,"",IF(P585&lt;=0,"AGOTADO","OK"))</f>
        <v/>
      </c>
    </row>
    <row r="586" customFormat="false" ht="15" hidden="false" customHeight="false" outlineLevel="0" collapsed="false">
      <c r="A586" s="15" t="n">
        <f aca="false">A585+1</f>
        <v>584</v>
      </c>
      <c r="B586" s="15" t="n">
        <f aca="false">IF($A586="","",ROUNDUP($A586/12,0))</f>
        <v>49</v>
      </c>
      <c r="C586" s="15" t="n">
        <f aca="false">IF($A586="","",PARAMETROS!$C$6+INT(($A586-1)/12))</f>
        <v>113</v>
      </c>
      <c r="D586" s="15" t="n">
        <f aca="false">IF($A586="","",MOD($A586-1,12)+1)</f>
        <v>8</v>
      </c>
      <c r="E586" s="16" t="str">
        <f aca="false">IF($A586&gt;PARAMETROS!$C$33,"",P585)</f>
        <v/>
      </c>
      <c r="F586" s="17" t="str">
        <f aca="false">IF($A586&gt;PARAMETROS!$C$33,"",PARAMETROS!$C$38)</f>
        <v/>
      </c>
      <c r="G586" s="16" t="str">
        <f aca="false">IF($A586&gt;PARAMETROS!$C$33,"",E586*F586)</f>
        <v/>
      </c>
      <c r="H586" s="16" t="str">
        <f aca="false">IF($A586&gt;PARAMETROS!$C$33,"",E586*PARAMETROS!$C$39)</f>
        <v/>
      </c>
      <c r="I586" s="16" t="str">
        <f aca="false">IF($A586&gt;PARAMETROS!$C$33,"",G586-H586)</f>
        <v/>
      </c>
      <c r="J586" s="16" t="str">
        <f aca="false">IF($A586&gt;PARAMETROS!$C$33,"",PARAMETROS!$C$9*(1+PARAMETROS!$C$17)^(B586-1))</f>
        <v/>
      </c>
      <c r="K586" s="16" t="str">
        <f aca="false">IF($A586&gt;PARAMETROS!$C$33,"",K585*(1+PARAMETROS!$C$36))</f>
        <v/>
      </c>
      <c r="L586" s="16" t="str">
        <f aca="false">IF($A586&gt;PARAMETROS!$C$33,"",L585*(1+PARAMETROS!$C$37)*(1+M586))</f>
        <v/>
      </c>
      <c r="M586" s="17" t="str">
        <f aca="false">IF($A586&gt;PARAMETROS!$C$33,"",IF(C586&lt;70,PARAMETROS!$C$40,IF(C586&lt;75,PARAMETROS!$C$41,IF(C586&lt;80,PARAMETROS!$C$42,IF(C586&lt;85,PARAMETROS!$C$43,IF(C586&lt;90,PARAMETROS!$C$44,PARAMETROS!$C$45))))))</f>
        <v/>
      </c>
      <c r="N586" s="16" t="str">
        <f aca="false">IF($A586&gt;PARAMETROS!$C$33,"",K586+L586)</f>
        <v/>
      </c>
      <c r="O586" s="16" t="str">
        <f aca="false">IF($A586&gt;PARAMETROS!$C$33,"",I586+J586-N586)</f>
        <v/>
      </c>
      <c r="P586" s="16" t="str">
        <f aca="false">IF($A586&gt;PARAMETROS!$C$33,"",MAX(E586+I586+J586-N586,0))</f>
        <v/>
      </c>
      <c r="Q586" s="18" t="str">
        <f aca="false">IF($A586&gt;PARAMETROS!$C$33,"",IF(P586&lt;=0,"AGOTADO","OK"))</f>
        <v/>
      </c>
    </row>
    <row r="587" customFormat="false" ht="15" hidden="false" customHeight="false" outlineLevel="0" collapsed="false">
      <c r="A587" s="15" t="n">
        <f aca="false">A586+1</f>
        <v>585</v>
      </c>
      <c r="B587" s="15" t="n">
        <f aca="false">IF($A587="","",ROUNDUP($A587/12,0))</f>
        <v>49</v>
      </c>
      <c r="C587" s="15" t="n">
        <f aca="false">IF($A587="","",PARAMETROS!$C$6+INT(($A587-1)/12))</f>
        <v>113</v>
      </c>
      <c r="D587" s="15" t="n">
        <f aca="false">IF($A587="","",MOD($A587-1,12)+1)</f>
        <v>9</v>
      </c>
      <c r="E587" s="16" t="str">
        <f aca="false">IF($A587&gt;PARAMETROS!$C$33,"",P586)</f>
        <v/>
      </c>
      <c r="F587" s="17" t="str">
        <f aca="false">IF($A587&gt;PARAMETROS!$C$33,"",PARAMETROS!$C$38)</f>
        <v/>
      </c>
      <c r="G587" s="16" t="str">
        <f aca="false">IF($A587&gt;PARAMETROS!$C$33,"",E587*F587)</f>
        <v/>
      </c>
      <c r="H587" s="16" t="str">
        <f aca="false">IF($A587&gt;PARAMETROS!$C$33,"",E587*PARAMETROS!$C$39)</f>
        <v/>
      </c>
      <c r="I587" s="16" t="str">
        <f aca="false">IF($A587&gt;PARAMETROS!$C$33,"",G587-H587)</f>
        <v/>
      </c>
      <c r="J587" s="16" t="str">
        <f aca="false">IF($A587&gt;PARAMETROS!$C$33,"",PARAMETROS!$C$9*(1+PARAMETROS!$C$17)^(B587-1))</f>
        <v/>
      </c>
      <c r="K587" s="16" t="str">
        <f aca="false">IF($A587&gt;PARAMETROS!$C$33,"",K586*(1+PARAMETROS!$C$36))</f>
        <v/>
      </c>
      <c r="L587" s="16" t="str">
        <f aca="false">IF($A587&gt;PARAMETROS!$C$33,"",L586*(1+PARAMETROS!$C$37)*(1+M587))</f>
        <v/>
      </c>
      <c r="M587" s="17" t="str">
        <f aca="false">IF($A587&gt;PARAMETROS!$C$33,"",IF(C587&lt;70,PARAMETROS!$C$40,IF(C587&lt;75,PARAMETROS!$C$41,IF(C587&lt;80,PARAMETROS!$C$42,IF(C587&lt;85,PARAMETROS!$C$43,IF(C587&lt;90,PARAMETROS!$C$44,PARAMETROS!$C$45))))))</f>
        <v/>
      </c>
      <c r="N587" s="16" t="str">
        <f aca="false">IF($A587&gt;PARAMETROS!$C$33,"",K587+L587)</f>
        <v/>
      </c>
      <c r="O587" s="16" t="str">
        <f aca="false">IF($A587&gt;PARAMETROS!$C$33,"",I587+J587-N587)</f>
        <v/>
      </c>
      <c r="P587" s="16" t="str">
        <f aca="false">IF($A587&gt;PARAMETROS!$C$33,"",MAX(E587+I587+J587-N587,0))</f>
        <v/>
      </c>
      <c r="Q587" s="18" t="str">
        <f aca="false">IF($A587&gt;PARAMETROS!$C$33,"",IF(P587&lt;=0,"AGOTADO","OK"))</f>
        <v/>
      </c>
    </row>
    <row r="588" customFormat="false" ht="15" hidden="false" customHeight="false" outlineLevel="0" collapsed="false">
      <c r="A588" s="15" t="n">
        <f aca="false">A587+1</f>
        <v>586</v>
      </c>
      <c r="B588" s="15" t="n">
        <f aca="false">IF($A588="","",ROUNDUP($A588/12,0))</f>
        <v>49</v>
      </c>
      <c r="C588" s="15" t="n">
        <f aca="false">IF($A588="","",PARAMETROS!$C$6+INT(($A588-1)/12))</f>
        <v>113</v>
      </c>
      <c r="D588" s="15" t="n">
        <f aca="false">IF($A588="","",MOD($A588-1,12)+1)</f>
        <v>10</v>
      </c>
      <c r="E588" s="16" t="str">
        <f aca="false">IF($A588&gt;PARAMETROS!$C$33,"",P587)</f>
        <v/>
      </c>
      <c r="F588" s="17" t="str">
        <f aca="false">IF($A588&gt;PARAMETROS!$C$33,"",PARAMETROS!$C$38)</f>
        <v/>
      </c>
      <c r="G588" s="16" t="str">
        <f aca="false">IF($A588&gt;PARAMETROS!$C$33,"",E588*F588)</f>
        <v/>
      </c>
      <c r="H588" s="16" t="str">
        <f aca="false">IF($A588&gt;PARAMETROS!$C$33,"",E588*PARAMETROS!$C$39)</f>
        <v/>
      </c>
      <c r="I588" s="16" t="str">
        <f aca="false">IF($A588&gt;PARAMETROS!$C$33,"",G588-H588)</f>
        <v/>
      </c>
      <c r="J588" s="16" t="str">
        <f aca="false">IF($A588&gt;PARAMETROS!$C$33,"",PARAMETROS!$C$9*(1+PARAMETROS!$C$17)^(B588-1))</f>
        <v/>
      </c>
      <c r="K588" s="16" t="str">
        <f aca="false">IF($A588&gt;PARAMETROS!$C$33,"",K587*(1+PARAMETROS!$C$36))</f>
        <v/>
      </c>
      <c r="L588" s="16" t="str">
        <f aca="false">IF($A588&gt;PARAMETROS!$C$33,"",L587*(1+PARAMETROS!$C$37)*(1+M588))</f>
        <v/>
      </c>
      <c r="M588" s="17" t="str">
        <f aca="false">IF($A588&gt;PARAMETROS!$C$33,"",IF(C588&lt;70,PARAMETROS!$C$40,IF(C588&lt;75,PARAMETROS!$C$41,IF(C588&lt;80,PARAMETROS!$C$42,IF(C588&lt;85,PARAMETROS!$C$43,IF(C588&lt;90,PARAMETROS!$C$44,PARAMETROS!$C$45))))))</f>
        <v/>
      </c>
      <c r="N588" s="16" t="str">
        <f aca="false">IF($A588&gt;PARAMETROS!$C$33,"",K588+L588)</f>
        <v/>
      </c>
      <c r="O588" s="16" t="str">
        <f aca="false">IF($A588&gt;PARAMETROS!$C$33,"",I588+J588-N588)</f>
        <v/>
      </c>
      <c r="P588" s="16" t="str">
        <f aca="false">IF($A588&gt;PARAMETROS!$C$33,"",MAX(E588+I588+J588-N588,0))</f>
        <v/>
      </c>
      <c r="Q588" s="18" t="str">
        <f aca="false">IF($A588&gt;PARAMETROS!$C$33,"",IF(P588&lt;=0,"AGOTADO","OK"))</f>
        <v/>
      </c>
    </row>
    <row r="589" customFormat="false" ht="15" hidden="false" customHeight="false" outlineLevel="0" collapsed="false">
      <c r="A589" s="15" t="n">
        <f aca="false">A588+1</f>
        <v>587</v>
      </c>
      <c r="B589" s="15" t="n">
        <f aca="false">IF($A589="","",ROUNDUP($A589/12,0))</f>
        <v>49</v>
      </c>
      <c r="C589" s="15" t="n">
        <f aca="false">IF($A589="","",PARAMETROS!$C$6+INT(($A589-1)/12))</f>
        <v>113</v>
      </c>
      <c r="D589" s="15" t="n">
        <f aca="false">IF($A589="","",MOD($A589-1,12)+1)</f>
        <v>11</v>
      </c>
      <c r="E589" s="16" t="str">
        <f aca="false">IF($A589&gt;PARAMETROS!$C$33,"",P588)</f>
        <v/>
      </c>
      <c r="F589" s="17" t="str">
        <f aca="false">IF($A589&gt;PARAMETROS!$C$33,"",PARAMETROS!$C$38)</f>
        <v/>
      </c>
      <c r="G589" s="16" t="str">
        <f aca="false">IF($A589&gt;PARAMETROS!$C$33,"",E589*F589)</f>
        <v/>
      </c>
      <c r="H589" s="16" t="str">
        <f aca="false">IF($A589&gt;PARAMETROS!$C$33,"",E589*PARAMETROS!$C$39)</f>
        <v/>
      </c>
      <c r="I589" s="16" t="str">
        <f aca="false">IF($A589&gt;PARAMETROS!$C$33,"",G589-H589)</f>
        <v/>
      </c>
      <c r="J589" s="16" t="str">
        <f aca="false">IF($A589&gt;PARAMETROS!$C$33,"",PARAMETROS!$C$9*(1+PARAMETROS!$C$17)^(B589-1))</f>
        <v/>
      </c>
      <c r="K589" s="16" t="str">
        <f aca="false">IF($A589&gt;PARAMETROS!$C$33,"",K588*(1+PARAMETROS!$C$36))</f>
        <v/>
      </c>
      <c r="L589" s="16" t="str">
        <f aca="false">IF($A589&gt;PARAMETROS!$C$33,"",L588*(1+PARAMETROS!$C$37)*(1+M589))</f>
        <v/>
      </c>
      <c r="M589" s="17" t="str">
        <f aca="false">IF($A589&gt;PARAMETROS!$C$33,"",IF(C589&lt;70,PARAMETROS!$C$40,IF(C589&lt;75,PARAMETROS!$C$41,IF(C589&lt;80,PARAMETROS!$C$42,IF(C589&lt;85,PARAMETROS!$C$43,IF(C589&lt;90,PARAMETROS!$C$44,PARAMETROS!$C$45))))))</f>
        <v/>
      </c>
      <c r="N589" s="16" t="str">
        <f aca="false">IF($A589&gt;PARAMETROS!$C$33,"",K589+L589)</f>
        <v/>
      </c>
      <c r="O589" s="16" t="str">
        <f aca="false">IF($A589&gt;PARAMETROS!$C$33,"",I589+J589-N589)</f>
        <v/>
      </c>
      <c r="P589" s="16" t="str">
        <f aca="false">IF($A589&gt;PARAMETROS!$C$33,"",MAX(E589+I589+J589-N589,0))</f>
        <v/>
      </c>
      <c r="Q589" s="18" t="str">
        <f aca="false">IF($A589&gt;PARAMETROS!$C$33,"",IF(P589&lt;=0,"AGOTADO","OK"))</f>
        <v/>
      </c>
    </row>
    <row r="590" customFormat="false" ht="15" hidden="false" customHeight="false" outlineLevel="0" collapsed="false">
      <c r="A590" s="15" t="n">
        <f aca="false">A589+1</f>
        <v>588</v>
      </c>
      <c r="B590" s="15" t="n">
        <f aca="false">IF($A590="","",ROUNDUP($A590/12,0))</f>
        <v>49</v>
      </c>
      <c r="C590" s="15" t="n">
        <f aca="false">IF($A590="","",PARAMETROS!$C$6+INT(($A590-1)/12))</f>
        <v>113</v>
      </c>
      <c r="D590" s="15" t="n">
        <f aca="false">IF($A590="","",MOD($A590-1,12)+1)</f>
        <v>12</v>
      </c>
      <c r="E590" s="16" t="str">
        <f aca="false">IF($A590&gt;PARAMETROS!$C$33,"",P589)</f>
        <v/>
      </c>
      <c r="F590" s="17" t="str">
        <f aca="false">IF($A590&gt;PARAMETROS!$C$33,"",PARAMETROS!$C$38)</f>
        <v/>
      </c>
      <c r="G590" s="16" t="str">
        <f aca="false">IF($A590&gt;PARAMETROS!$C$33,"",E590*F590)</f>
        <v/>
      </c>
      <c r="H590" s="16" t="str">
        <f aca="false">IF($A590&gt;PARAMETROS!$C$33,"",E590*PARAMETROS!$C$39)</f>
        <v/>
      </c>
      <c r="I590" s="16" t="str">
        <f aca="false">IF($A590&gt;PARAMETROS!$C$33,"",G590-H590)</f>
        <v/>
      </c>
      <c r="J590" s="16" t="str">
        <f aca="false">IF($A590&gt;PARAMETROS!$C$33,"",PARAMETROS!$C$9*(1+PARAMETROS!$C$17)^(B590-1))</f>
        <v/>
      </c>
      <c r="K590" s="16" t="str">
        <f aca="false">IF($A590&gt;PARAMETROS!$C$33,"",K589*(1+PARAMETROS!$C$36))</f>
        <v/>
      </c>
      <c r="L590" s="16" t="str">
        <f aca="false">IF($A590&gt;PARAMETROS!$C$33,"",L589*(1+PARAMETROS!$C$37)*(1+M590))</f>
        <v/>
      </c>
      <c r="M590" s="17" t="str">
        <f aca="false">IF($A590&gt;PARAMETROS!$C$33,"",IF(C590&lt;70,PARAMETROS!$C$40,IF(C590&lt;75,PARAMETROS!$C$41,IF(C590&lt;80,PARAMETROS!$C$42,IF(C590&lt;85,PARAMETROS!$C$43,IF(C590&lt;90,PARAMETROS!$C$44,PARAMETROS!$C$45))))))</f>
        <v/>
      </c>
      <c r="N590" s="16" t="str">
        <f aca="false">IF($A590&gt;PARAMETROS!$C$33,"",K590+L590)</f>
        <v/>
      </c>
      <c r="O590" s="16" t="str">
        <f aca="false">IF($A590&gt;PARAMETROS!$C$33,"",I590+J590-N590)</f>
        <v/>
      </c>
      <c r="P590" s="16" t="str">
        <f aca="false">IF($A590&gt;PARAMETROS!$C$33,"",MAX(E590+I590+J590-N590,0))</f>
        <v/>
      </c>
      <c r="Q590" s="18" t="str">
        <f aca="false">IF($A590&gt;PARAMETROS!$C$33,"",IF(P590&lt;=0,"AGOTADO","OK"))</f>
        <v/>
      </c>
    </row>
    <row r="591" customFormat="false" ht="15" hidden="false" customHeight="false" outlineLevel="0" collapsed="false">
      <c r="A591" s="19" t="n">
        <f aca="false">A590+1</f>
        <v>589</v>
      </c>
      <c r="B591" s="19" t="n">
        <f aca="false">IF($A591="","",ROUNDUP($A591/12,0))</f>
        <v>50</v>
      </c>
      <c r="C591" s="19" t="n">
        <f aca="false">IF($A591="","",PARAMETROS!$C$6+INT(($A591-1)/12))</f>
        <v>114</v>
      </c>
      <c r="D591" s="19" t="n">
        <f aca="false">IF($A591="","",MOD($A591-1,12)+1)</f>
        <v>1</v>
      </c>
      <c r="E591" s="20" t="str">
        <f aca="false">IF($A591&gt;PARAMETROS!$C$33,"",P590)</f>
        <v/>
      </c>
      <c r="F591" s="21" t="str">
        <f aca="false">IF($A591&gt;PARAMETROS!$C$33,"",PARAMETROS!$C$38)</f>
        <v/>
      </c>
      <c r="G591" s="20" t="str">
        <f aca="false">IF($A591&gt;PARAMETROS!$C$33,"",E591*F591)</f>
        <v/>
      </c>
      <c r="H591" s="20" t="str">
        <f aca="false">IF($A591&gt;PARAMETROS!$C$33,"",E591*PARAMETROS!$C$39)</f>
        <v/>
      </c>
      <c r="I591" s="20" t="str">
        <f aca="false">IF($A591&gt;PARAMETROS!$C$33,"",G591-H591)</f>
        <v/>
      </c>
      <c r="J591" s="20" t="str">
        <f aca="false">IF($A591&gt;PARAMETROS!$C$33,"",PARAMETROS!$C$9*(1+PARAMETROS!$C$17)^(B591-1))</f>
        <v/>
      </c>
      <c r="K591" s="20" t="str">
        <f aca="false">IF($A591&gt;PARAMETROS!$C$33,"",K590*(1+PARAMETROS!$C$36))</f>
        <v/>
      </c>
      <c r="L591" s="20" t="str">
        <f aca="false">IF($A591&gt;PARAMETROS!$C$33,"",L590*(1+PARAMETROS!$C$37)*(1+M591))</f>
        <v/>
      </c>
      <c r="M591" s="21" t="str">
        <f aca="false">IF($A591&gt;PARAMETROS!$C$33,"",IF(C591&lt;70,PARAMETROS!$C$40,IF(C591&lt;75,PARAMETROS!$C$41,IF(C591&lt;80,PARAMETROS!$C$42,IF(C591&lt;85,PARAMETROS!$C$43,IF(C591&lt;90,PARAMETROS!$C$44,PARAMETROS!$C$45))))))</f>
        <v/>
      </c>
      <c r="N591" s="20" t="str">
        <f aca="false">IF($A591&gt;PARAMETROS!$C$33,"",K591+L591)</f>
        <v/>
      </c>
      <c r="O591" s="20" t="str">
        <f aca="false">IF($A591&gt;PARAMETROS!$C$33,"",I591+J591-N591)</f>
        <v/>
      </c>
      <c r="P591" s="20" t="str">
        <f aca="false">IF($A591&gt;PARAMETROS!$C$33,"",MAX(E591+I591+J591-N591,0))</f>
        <v/>
      </c>
      <c r="Q591" s="22" t="str">
        <f aca="false">IF($A591&gt;PARAMETROS!$C$33,"",IF(P591&lt;=0,"AGOTADO","OK"))</f>
        <v/>
      </c>
    </row>
    <row r="592" customFormat="false" ht="15" hidden="false" customHeight="false" outlineLevel="0" collapsed="false">
      <c r="A592" s="19" t="n">
        <f aca="false">A591+1</f>
        <v>590</v>
      </c>
      <c r="B592" s="19" t="n">
        <f aca="false">IF($A592="","",ROUNDUP($A592/12,0))</f>
        <v>50</v>
      </c>
      <c r="C592" s="19" t="n">
        <f aca="false">IF($A592="","",PARAMETROS!$C$6+INT(($A592-1)/12))</f>
        <v>114</v>
      </c>
      <c r="D592" s="19" t="n">
        <f aca="false">IF($A592="","",MOD($A592-1,12)+1)</f>
        <v>2</v>
      </c>
      <c r="E592" s="20" t="str">
        <f aca="false">IF($A592&gt;PARAMETROS!$C$33,"",P591)</f>
        <v/>
      </c>
      <c r="F592" s="21" t="str">
        <f aca="false">IF($A592&gt;PARAMETROS!$C$33,"",PARAMETROS!$C$38)</f>
        <v/>
      </c>
      <c r="G592" s="20" t="str">
        <f aca="false">IF($A592&gt;PARAMETROS!$C$33,"",E592*F592)</f>
        <v/>
      </c>
      <c r="H592" s="20" t="str">
        <f aca="false">IF($A592&gt;PARAMETROS!$C$33,"",E592*PARAMETROS!$C$39)</f>
        <v/>
      </c>
      <c r="I592" s="20" t="str">
        <f aca="false">IF($A592&gt;PARAMETROS!$C$33,"",G592-H592)</f>
        <v/>
      </c>
      <c r="J592" s="20" t="str">
        <f aca="false">IF($A592&gt;PARAMETROS!$C$33,"",PARAMETROS!$C$9*(1+PARAMETROS!$C$17)^(B592-1))</f>
        <v/>
      </c>
      <c r="K592" s="20" t="str">
        <f aca="false">IF($A592&gt;PARAMETROS!$C$33,"",K591*(1+PARAMETROS!$C$36))</f>
        <v/>
      </c>
      <c r="L592" s="20" t="str">
        <f aca="false">IF($A592&gt;PARAMETROS!$C$33,"",L591*(1+PARAMETROS!$C$37)*(1+M592))</f>
        <v/>
      </c>
      <c r="M592" s="21" t="str">
        <f aca="false">IF($A592&gt;PARAMETROS!$C$33,"",IF(C592&lt;70,PARAMETROS!$C$40,IF(C592&lt;75,PARAMETROS!$C$41,IF(C592&lt;80,PARAMETROS!$C$42,IF(C592&lt;85,PARAMETROS!$C$43,IF(C592&lt;90,PARAMETROS!$C$44,PARAMETROS!$C$45))))))</f>
        <v/>
      </c>
      <c r="N592" s="20" t="str">
        <f aca="false">IF($A592&gt;PARAMETROS!$C$33,"",K592+L592)</f>
        <v/>
      </c>
      <c r="O592" s="20" t="str">
        <f aca="false">IF($A592&gt;PARAMETROS!$C$33,"",I592+J592-N592)</f>
        <v/>
      </c>
      <c r="P592" s="20" t="str">
        <f aca="false">IF($A592&gt;PARAMETROS!$C$33,"",MAX(E592+I592+J592-N592,0))</f>
        <v/>
      </c>
      <c r="Q592" s="22" t="str">
        <f aca="false">IF($A592&gt;PARAMETROS!$C$33,"",IF(P592&lt;=0,"AGOTADO","OK"))</f>
        <v/>
      </c>
    </row>
    <row r="593" customFormat="false" ht="15" hidden="false" customHeight="false" outlineLevel="0" collapsed="false">
      <c r="A593" s="19" t="n">
        <f aca="false">A592+1</f>
        <v>591</v>
      </c>
      <c r="B593" s="19" t="n">
        <f aca="false">IF($A593="","",ROUNDUP($A593/12,0))</f>
        <v>50</v>
      </c>
      <c r="C593" s="19" t="n">
        <f aca="false">IF($A593="","",PARAMETROS!$C$6+INT(($A593-1)/12))</f>
        <v>114</v>
      </c>
      <c r="D593" s="19" t="n">
        <f aca="false">IF($A593="","",MOD($A593-1,12)+1)</f>
        <v>3</v>
      </c>
      <c r="E593" s="20" t="str">
        <f aca="false">IF($A593&gt;PARAMETROS!$C$33,"",P592)</f>
        <v/>
      </c>
      <c r="F593" s="21" t="str">
        <f aca="false">IF($A593&gt;PARAMETROS!$C$33,"",PARAMETROS!$C$38)</f>
        <v/>
      </c>
      <c r="G593" s="20" t="str">
        <f aca="false">IF($A593&gt;PARAMETROS!$C$33,"",E593*F593)</f>
        <v/>
      </c>
      <c r="H593" s="20" t="str">
        <f aca="false">IF($A593&gt;PARAMETROS!$C$33,"",E593*PARAMETROS!$C$39)</f>
        <v/>
      </c>
      <c r="I593" s="20" t="str">
        <f aca="false">IF($A593&gt;PARAMETROS!$C$33,"",G593-H593)</f>
        <v/>
      </c>
      <c r="J593" s="20" t="str">
        <f aca="false">IF($A593&gt;PARAMETROS!$C$33,"",PARAMETROS!$C$9*(1+PARAMETROS!$C$17)^(B593-1))</f>
        <v/>
      </c>
      <c r="K593" s="20" t="str">
        <f aca="false">IF($A593&gt;PARAMETROS!$C$33,"",K592*(1+PARAMETROS!$C$36))</f>
        <v/>
      </c>
      <c r="L593" s="20" t="str">
        <f aca="false">IF($A593&gt;PARAMETROS!$C$33,"",L592*(1+PARAMETROS!$C$37)*(1+M593))</f>
        <v/>
      </c>
      <c r="M593" s="21" t="str">
        <f aca="false">IF($A593&gt;PARAMETROS!$C$33,"",IF(C593&lt;70,PARAMETROS!$C$40,IF(C593&lt;75,PARAMETROS!$C$41,IF(C593&lt;80,PARAMETROS!$C$42,IF(C593&lt;85,PARAMETROS!$C$43,IF(C593&lt;90,PARAMETROS!$C$44,PARAMETROS!$C$45))))))</f>
        <v/>
      </c>
      <c r="N593" s="20" t="str">
        <f aca="false">IF($A593&gt;PARAMETROS!$C$33,"",K593+L593)</f>
        <v/>
      </c>
      <c r="O593" s="20" t="str">
        <f aca="false">IF($A593&gt;PARAMETROS!$C$33,"",I593+J593-N593)</f>
        <v/>
      </c>
      <c r="P593" s="20" t="str">
        <f aca="false">IF($A593&gt;PARAMETROS!$C$33,"",MAX(E593+I593+J593-N593,0))</f>
        <v/>
      </c>
      <c r="Q593" s="22" t="str">
        <f aca="false">IF($A593&gt;PARAMETROS!$C$33,"",IF(P593&lt;=0,"AGOTADO","OK"))</f>
        <v/>
      </c>
    </row>
    <row r="594" customFormat="false" ht="15" hidden="false" customHeight="false" outlineLevel="0" collapsed="false">
      <c r="A594" s="19" t="n">
        <f aca="false">A593+1</f>
        <v>592</v>
      </c>
      <c r="B594" s="19" t="n">
        <f aca="false">IF($A594="","",ROUNDUP($A594/12,0))</f>
        <v>50</v>
      </c>
      <c r="C594" s="19" t="n">
        <f aca="false">IF($A594="","",PARAMETROS!$C$6+INT(($A594-1)/12))</f>
        <v>114</v>
      </c>
      <c r="D594" s="19" t="n">
        <f aca="false">IF($A594="","",MOD($A594-1,12)+1)</f>
        <v>4</v>
      </c>
      <c r="E594" s="20" t="str">
        <f aca="false">IF($A594&gt;PARAMETROS!$C$33,"",P593)</f>
        <v/>
      </c>
      <c r="F594" s="21" t="str">
        <f aca="false">IF($A594&gt;PARAMETROS!$C$33,"",PARAMETROS!$C$38)</f>
        <v/>
      </c>
      <c r="G594" s="20" t="str">
        <f aca="false">IF($A594&gt;PARAMETROS!$C$33,"",E594*F594)</f>
        <v/>
      </c>
      <c r="H594" s="20" t="str">
        <f aca="false">IF($A594&gt;PARAMETROS!$C$33,"",E594*PARAMETROS!$C$39)</f>
        <v/>
      </c>
      <c r="I594" s="20" t="str">
        <f aca="false">IF($A594&gt;PARAMETROS!$C$33,"",G594-H594)</f>
        <v/>
      </c>
      <c r="J594" s="20" t="str">
        <f aca="false">IF($A594&gt;PARAMETROS!$C$33,"",PARAMETROS!$C$9*(1+PARAMETROS!$C$17)^(B594-1))</f>
        <v/>
      </c>
      <c r="K594" s="20" t="str">
        <f aca="false">IF($A594&gt;PARAMETROS!$C$33,"",K593*(1+PARAMETROS!$C$36))</f>
        <v/>
      </c>
      <c r="L594" s="20" t="str">
        <f aca="false">IF($A594&gt;PARAMETROS!$C$33,"",L593*(1+PARAMETROS!$C$37)*(1+M594))</f>
        <v/>
      </c>
      <c r="M594" s="21" t="str">
        <f aca="false">IF($A594&gt;PARAMETROS!$C$33,"",IF(C594&lt;70,PARAMETROS!$C$40,IF(C594&lt;75,PARAMETROS!$C$41,IF(C594&lt;80,PARAMETROS!$C$42,IF(C594&lt;85,PARAMETROS!$C$43,IF(C594&lt;90,PARAMETROS!$C$44,PARAMETROS!$C$45))))))</f>
        <v/>
      </c>
      <c r="N594" s="20" t="str">
        <f aca="false">IF($A594&gt;PARAMETROS!$C$33,"",K594+L594)</f>
        <v/>
      </c>
      <c r="O594" s="20" t="str">
        <f aca="false">IF($A594&gt;PARAMETROS!$C$33,"",I594+J594-N594)</f>
        <v/>
      </c>
      <c r="P594" s="20" t="str">
        <f aca="false">IF($A594&gt;PARAMETROS!$C$33,"",MAX(E594+I594+J594-N594,0))</f>
        <v/>
      </c>
      <c r="Q594" s="22" t="str">
        <f aca="false">IF($A594&gt;PARAMETROS!$C$33,"",IF(P594&lt;=0,"AGOTADO","OK"))</f>
        <v/>
      </c>
    </row>
    <row r="595" customFormat="false" ht="15" hidden="false" customHeight="false" outlineLevel="0" collapsed="false">
      <c r="A595" s="19" t="n">
        <f aca="false">A594+1</f>
        <v>593</v>
      </c>
      <c r="B595" s="19" t="n">
        <f aca="false">IF($A595="","",ROUNDUP($A595/12,0))</f>
        <v>50</v>
      </c>
      <c r="C595" s="19" t="n">
        <f aca="false">IF($A595="","",PARAMETROS!$C$6+INT(($A595-1)/12))</f>
        <v>114</v>
      </c>
      <c r="D595" s="19" t="n">
        <f aca="false">IF($A595="","",MOD($A595-1,12)+1)</f>
        <v>5</v>
      </c>
      <c r="E595" s="20" t="str">
        <f aca="false">IF($A595&gt;PARAMETROS!$C$33,"",P594)</f>
        <v/>
      </c>
      <c r="F595" s="21" t="str">
        <f aca="false">IF($A595&gt;PARAMETROS!$C$33,"",PARAMETROS!$C$38)</f>
        <v/>
      </c>
      <c r="G595" s="20" t="str">
        <f aca="false">IF($A595&gt;PARAMETROS!$C$33,"",E595*F595)</f>
        <v/>
      </c>
      <c r="H595" s="20" t="str">
        <f aca="false">IF($A595&gt;PARAMETROS!$C$33,"",E595*PARAMETROS!$C$39)</f>
        <v/>
      </c>
      <c r="I595" s="20" t="str">
        <f aca="false">IF($A595&gt;PARAMETROS!$C$33,"",G595-H595)</f>
        <v/>
      </c>
      <c r="J595" s="20" t="str">
        <f aca="false">IF($A595&gt;PARAMETROS!$C$33,"",PARAMETROS!$C$9*(1+PARAMETROS!$C$17)^(B595-1))</f>
        <v/>
      </c>
      <c r="K595" s="20" t="str">
        <f aca="false">IF($A595&gt;PARAMETROS!$C$33,"",K594*(1+PARAMETROS!$C$36))</f>
        <v/>
      </c>
      <c r="L595" s="20" t="str">
        <f aca="false">IF($A595&gt;PARAMETROS!$C$33,"",L594*(1+PARAMETROS!$C$37)*(1+M595))</f>
        <v/>
      </c>
      <c r="M595" s="21" t="str">
        <f aca="false">IF($A595&gt;PARAMETROS!$C$33,"",IF(C595&lt;70,PARAMETROS!$C$40,IF(C595&lt;75,PARAMETROS!$C$41,IF(C595&lt;80,PARAMETROS!$C$42,IF(C595&lt;85,PARAMETROS!$C$43,IF(C595&lt;90,PARAMETROS!$C$44,PARAMETROS!$C$45))))))</f>
        <v/>
      </c>
      <c r="N595" s="20" t="str">
        <f aca="false">IF($A595&gt;PARAMETROS!$C$33,"",K595+L595)</f>
        <v/>
      </c>
      <c r="O595" s="20" t="str">
        <f aca="false">IF($A595&gt;PARAMETROS!$C$33,"",I595+J595-N595)</f>
        <v/>
      </c>
      <c r="P595" s="20" t="str">
        <f aca="false">IF($A595&gt;PARAMETROS!$C$33,"",MAX(E595+I595+J595-N595,0))</f>
        <v/>
      </c>
      <c r="Q595" s="22" t="str">
        <f aca="false">IF($A595&gt;PARAMETROS!$C$33,"",IF(P595&lt;=0,"AGOTADO","OK"))</f>
        <v/>
      </c>
    </row>
    <row r="596" customFormat="false" ht="15" hidden="false" customHeight="false" outlineLevel="0" collapsed="false">
      <c r="A596" s="19" t="n">
        <f aca="false">A595+1</f>
        <v>594</v>
      </c>
      <c r="B596" s="19" t="n">
        <f aca="false">IF($A596="","",ROUNDUP($A596/12,0))</f>
        <v>50</v>
      </c>
      <c r="C596" s="19" t="n">
        <f aca="false">IF($A596="","",PARAMETROS!$C$6+INT(($A596-1)/12))</f>
        <v>114</v>
      </c>
      <c r="D596" s="19" t="n">
        <f aca="false">IF($A596="","",MOD($A596-1,12)+1)</f>
        <v>6</v>
      </c>
      <c r="E596" s="20" t="str">
        <f aca="false">IF($A596&gt;PARAMETROS!$C$33,"",P595)</f>
        <v/>
      </c>
      <c r="F596" s="21" t="str">
        <f aca="false">IF($A596&gt;PARAMETROS!$C$33,"",PARAMETROS!$C$38)</f>
        <v/>
      </c>
      <c r="G596" s="20" t="str">
        <f aca="false">IF($A596&gt;PARAMETROS!$C$33,"",E596*F596)</f>
        <v/>
      </c>
      <c r="H596" s="20" t="str">
        <f aca="false">IF($A596&gt;PARAMETROS!$C$33,"",E596*PARAMETROS!$C$39)</f>
        <v/>
      </c>
      <c r="I596" s="20" t="str">
        <f aca="false">IF($A596&gt;PARAMETROS!$C$33,"",G596-H596)</f>
        <v/>
      </c>
      <c r="J596" s="20" t="str">
        <f aca="false">IF($A596&gt;PARAMETROS!$C$33,"",PARAMETROS!$C$9*(1+PARAMETROS!$C$17)^(B596-1))</f>
        <v/>
      </c>
      <c r="K596" s="20" t="str">
        <f aca="false">IF($A596&gt;PARAMETROS!$C$33,"",K595*(1+PARAMETROS!$C$36))</f>
        <v/>
      </c>
      <c r="L596" s="20" t="str">
        <f aca="false">IF($A596&gt;PARAMETROS!$C$33,"",L595*(1+PARAMETROS!$C$37)*(1+M596))</f>
        <v/>
      </c>
      <c r="M596" s="21" t="str">
        <f aca="false">IF($A596&gt;PARAMETROS!$C$33,"",IF(C596&lt;70,PARAMETROS!$C$40,IF(C596&lt;75,PARAMETROS!$C$41,IF(C596&lt;80,PARAMETROS!$C$42,IF(C596&lt;85,PARAMETROS!$C$43,IF(C596&lt;90,PARAMETROS!$C$44,PARAMETROS!$C$45))))))</f>
        <v/>
      </c>
      <c r="N596" s="20" t="str">
        <f aca="false">IF($A596&gt;PARAMETROS!$C$33,"",K596+L596)</f>
        <v/>
      </c>
      <c r="O596" s="20" t="str">
        <f aca="false">IF($A596&gt;PARAMETROS!$C$33,"",I596+J596-N596)</f>
        <v/>
      </c>
      <c r="P596" s="20" t="str">
        <f aca="false">IF($A596&gt;PARAMETROS!$C$33,"",MAX(E596+I596+J596-N596,0))</f>
        <v/>
      </c>
      <c r="Q596" s="22" t="str">
        <f aca="false">IF($A596&gt;PARAMETROS!$C$33,"",IF(P596&lt;=0,"AGOTADO","OK"))</f>
        <v/>
      </c>
    </row>
    <row r="597" customFormat="false" ht="15" hidden="false" customHeight="false" outlineLevel="0" collapsed="false">
      <c r="A597" s="19" t="n">
        <f aca="false">A596+1</f>
        <v>595</v>
      </c>
      <c r="B597" s="19" t="n">
        <f aca="false">IF($A597="","",ROUNDUP($A597/12,0))</f>
        <v>50</v>
      </c>
      <c r="C597" s="19" t="n">
        <f aca="false">IF($A597="","",PARAMETROS!$C$6+INT(($A597-1)/12))</f>
        <v>114</v>
      </c>
      <c r="D597" s="19" t="n">
        <f aca="false">IF($A597="","",MOD($A597-1,12)+1)</f>
        <v>7</v>
      </c>
      <c r="E597" s="20" t="str">
        <f aca="false">IF($A597&gt;PARAMETROS!$C$33,"",P596)</f>
        <v/>
      </c>
      <c r="F597" s="21" t="str">
        <f aca="false">IF($A597&gt;PARAMETROS!$C$33,"",PARAMETROS!$C$38)</f>
        <v/>
      </c>
      <c r="G597" s="20" t="str">
        <f aca="false">IF($A597&gt;PARAMETROS!$C$33,"",E597*F597)</f>
        <v/>
      </c>
      <c r="H597" s="20" t="str">
        <f aca="false">IF($A597&gt;PARAMETROS!$C$33,"",E597*PARAMETROS!$C$39)</f>
        <v/>
      </c>
      <c r="I597" s="20" t="str">
        <f aca="false">IF($A597&gt;PARAMETROS!$C$33,"",G597-H597)</f>
        <v/>
      </c>
      <c r="J597" s="20" t="str">
        <f aca="false">IF($A597&gt;PARAMETROS!$C$33,"",PARAMETROS!$C$9*(1+PARAMETROS!$C$17)^(B597-1))</f>
        <v/>
      </c>
      <c r="K597" s="20" t="str">
        <f aca="false">IF($A597&gt;PARAMETROS!$C$33,"",K596*(1+PARAMETROS!$C$36))</f>
        <v/>
      </c>
      <c r="L597" s="20" t="str">
        <f aca="false">IF($A597&gt;PARAMETROS!$C$33,"",L596*(1+PARAMETROS!$C$37)*(1+M597))</f>
        <v/>
      </c>
      <c r="M597" s="21" t="str">
        <f aca="false">IF($A597&gt;PARAMETROS!$C$33,"",IF(C597&lt;70,PARAMETROS!$C$40,IF(C597&lt;75,PARAMETROS!$C$41,IF(C597&lt;80,PARAMETROS!$C$42,IF(C597&lt;85,PARAMETROS!$C$43,IF(C597&lt;90,PARAMETROS!$C$44,PARAMETROS!$C$45))))))</f>
        <v/>
      </c>
      <c r="N597" s="20" t="str">
        <f aca="false">IF($A597&gt;PARAMETROS!$C$33,"",K597+L597)</f>
        <v/>
      </c>
      <c r="O597" s="20" t="str">
        <f aca="false">IF($A597&gt;PARAMETROS!$C$33,"",I597+J597-N597)</f>
        <v/>
      </c>
      <c r="P597" s="20" t="str">
        <f aca="false">IF($A597&gt;PARAMETROS!$C$33,"",MAX(E597+I597+J597-N597,0))</f>
        <v/>
      </c>
      <c r="Q597" s="22" t="str">
        <f aca="false">IF($A597&gt;PARAMETROS!$C$33,"",IF(P597&lt;=0,"AGOTADO","OK"))</f>
        <v/>
      </c>
    </row>
    <row r="598" customFormat="false" ht="15" hidden="false" customHeight="false" outlineLevel="0" collapsed="false">
      <c r="A598" s="19" t="n">
        <f aca="false">A597+1</f>
        <v>596</v>
      </c>
      <c r="B598" s="19" t="n">
        <f aca="false">IF($A598="","",ROUNDUP($A598/12,0))</f>
        <v>50</v>
      </c>
      <c r="C598" s="19" t="n">
        <f aca="false">IF($A598="","",PARAMETROS!$C$6+INT(($A598-1)/12))</f>
        <v>114</v>
      </c>
      <c r="D598" s="19" t="n">
        <f aca="false">IF($A598="","",MOD($A598-1,12)+1)</f>
        <v>8</v>
      </c>
      <c r="E598" s="20" t="str">
        <f aca="false">IF($A598&gt;PARAMETROS!$C$33,"",P597)</f>
        <v/>
      </c>
      <c r="F598" s="21" t="str">
        <f aca="false">IF($A598&gt;PARAMETROS!$C$33,"",PARAMETROS!$C$38)</f>
        <v/>
      </c>
      <c r="G598" s="20" t="str">
        <f aca="false">IF($A598&gt;PARAMETROS!$C$33,"",E598*F598)</f>
        <v/>
      </c>
      <c r="H598" s="20" t="str">
        <f aca="false">IF($A598&gt;PARAMETROS!$C$33,"",E598*PARAMETROS!$C$39)</f>
        <v/>
      </c>
      <c r="I598" s="20" t="str">
        <f aca="false">IF($A598&gt;PARAMETROS!$C$33,"",G598-H598)</f>
        <v/>
      </c>
      <c r="J598" s="20" t="str">
        <f aca="false">IF($A598&gt;PARAMETROS!$C$33,"",PARAMETROS!$C$9*(1+PARAMETROS!$C$17)^(B598-1))</f>
        <v/>
      </c>
      <c r="K598" s="20" t="str">
        <f aca="false">IF($A598&gt;PARAMETROS!$C$33,"",K597*(1+PARAMETROS!$C$36))</f>
        <v/>
      </c>
      <c r="L598" s="20" t="str">
        <f aca="false">IF($A598&gt;PARAMETROS!$C$33,"",L597*(1+PARAMETROS!$C$37)*(1+M598))</f>
        <v/>
      </c>
      <c r="M598" s="21" t="str">
        <f aca="false">IF($A598&gt;PARAMETROS!$C$33,"",IF(C598&lt;70,PARAMETROS!$C$40,IF(C598&lt;75,PARAMETROS!$C$41,IF(C598&lt;80,PARAMETROS!$C$42,IF(C598&lt;85,PARAMETROS!$C$43,IF(C598&lt;90,PARAMETROS!$C$44,PARAMETROS!$C$45))))))</f>
        <v/>
      </c>
      <c r="N598" s="20" t="str">
        <f aca="false">IF($A598&gt;PARAMETROS!$C$33,"",K598+L598)</f>
        <v/>
      </c>
      <c r="O598" s="20" t="str">
        <f aca="false">IF($A598&gt;PARAMETROS!$C$33,"",I598+J598-N598)</f>
        <v/>
      </c>
      <c r="P598" s="20" t="str">
        <f aca="false">IF($A598&gt;PARAMETROS!$C$33,"",MAX(E598+I598+J598-N598,0))</f>
        <v/>
      </c>
      <c r="Q598" s="22" t="str">
        <f aca="false">IF($A598&gt;PARAMETROS!$C$33,"",IF(P598&lt;=0,"AGOTADO","OK"))</f>
        <v/>
      </c>
    </row>
    <row r="599" customFormat="false" ht="15" hidden="false" customHeight="false" outlineLevel="0" collapsed="false">
      <c r="A599" s="19" t="n">
        <f aca="false">A598+1</f>
        <v>597</v>
      </c>
      <c r="B599" s="19" t="n">
        <f aca="false">IF($A599="","",ROUNDUP($A599/12,0))</f>
        <v>50</v>
      </c>
      <c r="C599" s="19" t="n">
        <f aca="false">IF($A599="","",PARAMETROS!$C$6+INT(($A599-1)/12))</f>
        <v>114</v>
      </c>
      <c r="D599" s="19" t="n">
        <f aca="false">IF($A599="","",MOD($A599-1,12)+1)</f>
        <v>9</v>
      </c>
      <c r="E599" s="20" t="str">
        <f aca="false">IF($A599&gt;PARAMETROS!$C$33,"",P598)</f>
        <v/>
      </c>
      <c r="F599" s="21" t="str">
        <f aca="false">IF($A599&gt;PARAMETROS!$C$33,"",PARAMETROS!$C$38)</f>
        <v/>
      </c>
      <c r="G599" s="20" t="str">
        <f aca="false">IF($A599&gt;PARAMETROS!$C$33,"",E599*F599)</f>
        <v/>
      </c>
      <c r="H599" s="20" t="str">
        <f aca="false">IF($A599&gt;PARAMETROS!$C$33,"",E599*PARAMETROS!$C$39)</f>
        <v/>
      </c>
      <c r="I599" s="20" t="str">
        <f aca="false">IF($A599&gt;PARAMETROS!$C$33,"",G599-H599)</f>
        <v/>
      </c>
      <c r="J599" s="20" t="str">
        <f aca="false">IF($A599&gt;PARAMETROS!$C$33,"",PARAMETROS!$C$9*(1+PARAMETROS!$C$17)^(B599-1))</f>
        <v/>
      </c>
      <c r="K599" s="20" t="str">
        <f aca="false">IF($A599&gt;PARAMETROS!$C$33,"",K598*(1+PARAMETROS!$C$36))</f>
        <v/>
      </c>
      <c r="L599" s="20" t="str">
        <f aca="false">IF($A599&gt;PARAMETROS!$C$33,"",L598*(1+PARAMETROS!$C$37)*(1+M599))</f>
        <v/>
      </c>
      <c r="M599" s="21" t="str">
        <f aca="false">IF($A599&gt;PARAMETROS!$C$33,"",IF(C599&lt;70,PARAMETROS!$C$40,IF(C599&lt;75,PARAMETROS!$C$41,IF(C599&lt;80,PARAMETROS!$C$42,IF(C599&lt;85,PARAMETROS!$C$43,IF(C599&lt;90,PARAMETROS!$C$44,PARAMETROS!$C$45))))))</f>
        <v/>
      </c>
      <c r="N599" s="20" t="str">
        <f aca="false">IF($A599&gt;PARAMETROS!$C$33,"",K599+L599)</f>
        <v/>
      </c>
      <c r="O599" s="20" t="str">
        <f aca="false">IF($A599&gt;PARAMETROS!$C$33,"",I599+J599-N599)</f>
        <v/>
      </c>
      <c r="P599" s="20" t="str">
        <f aca="false">IF($A599&gt;PARAMETROS!$C$33,"",MAX(E599+I599+J599-N599,0))</f>
        <v/>
      </c>
      <c r="Q599" s="22" t="str">
        <f aca="false">IF($A599&gt;PARAMETROS!$C$33,"",IF(P599&lt;=0,"AGOTADO","OK"))</f>
        <v/>
      </c>
    </row>
    <row r="600" customFormat="false" ht="15" hidden="false" customHeight="false" outlineLevel="0" collapsed="false">
      <c r="A600" s="19" t="n">
        <f aca="false">A599+1</f>
        <v>598</v>
      </c>
      <c r="B600" s="19" t="n">
        <f aca="false">IF($A600="","",ROUNDUP($A600/12,0))</f>
        <v>50</v>
      </c>
      <c r="C600" s="19" t="n">
        <f aca="false">IF($A600="","",PARAMETROS!$C$6+INT(($A600-1)/12))</f>
        <v>114</v>
      </c>
      <c r="D600" s="19" t="n">
        <f aca="false">IF($A600="","",MOD($A600-1,12)+1)</f>
        <v>10</v>
      </c>
      <c r="E600" s="20" t="str">
        <f aca="false">IF($A600&gt;PARAMETROS!$C$33,"",P599)</f>
        <v/>
      </c>
      <c r="F600" s="21" t="str">
        <f aca="false">IF($A600&gt;PARAMETROS!$C$33,"",PARAMETROS!$C$38)</f>
        <v/>
      </c>
      <c r="G600" s="20" t="str">
        <f aca="false">IF($A600&gt;PARAMETROS!$C$33,"",E600*F600)</f>
        <v/>
      </c>
      <c r="H600" s="20" t="str">
        <f aca="false">IF($A600&gt;PARAMETROS!$C$33,"",E600*PARAMETROS!$C$39)</f>
        <v/>
      </c>
      <c r="I600" s="20" t="str">
        <f aca="false">IF($A600&gt;PARAMETROS!$C$33,"",G600-H600)</f>
        <v/>
      </c>
      <c r="J600" s="20" t="str">
        <f aca="false">IF($A600&gt;PARAMETROS!$C$33,"",PARAMETROS!$C$9*(1+PARAMETROS!$C$17)^(B600-1))</f>
        <v/>
      </c>
      <c r="K600" s="20" t="str">
        <f aca="false">IF($A600&gt;PARAMETROS!$C$33,"",K599*(1+PARAMETROS!$C$36))</f>
        <v/>
      </c>
      <c r="L600" s="20" t="str">
        <f aca="false">IF($A600&gt;PARAMETROS!$C$33,"",L599*(1+PARAMETROS!$C$37)*(1+M600))</f>
        <v/>
      </c>
      <c r="M600" s="21" t="str">
        <f aca="false">IF($A600&gt;PARAMETROS!$C$33,"",IF(C600&lt;70,PARAMETROS!$C$40,IF(C600&lt;75,PARAMETROS!$C$41,IF(C600&lt;80,PARAMETROS!$C$42,IF(C600&lt;85,PARAMETROS!$C$43,IF(C600&lt;90,PARAMETROS!$C$44,PARAMETROS!$C$45))))))</f>
        <v/>
      </c>
      <c r="N600" s="20" t="str">
        <f aca="false">IF($A600&gt;PARAMETROS!$C$33,"",K600+L600)</f>
        <v/>
      </c>
      <c r="O600" s="20" t="str">
        <f aca="false">IF($A600&gt;PARAMETROS!$C$33,"",I600+J600-N600)</f>
        <v/>
      </c>
      <c r="P600" s="20" t="str">
        <f aca="false">IF($A600&gt;PARAMETROS!$C$33,"",MAX(E600+I600+J600-N600,0))</f>
        <v/>
      </c>
      <c r="Q600" s="22" t="str">
        <f aca="false">IF($A600&gt;PARAMETROS!$C$33,"",IF(P600&lt;=0,"AGOTADO","OK"))</f>
        <v/>
      </c>
    </row>
    <row r="601" customFormat="false" ht="15" hidden="false" customHeight="false" outlineLevel="0" collapsed="false">
      <c r="A601" s="19" t="n">
        <f aca="false">A600+1</f>
        <v>599</v>
      </c>
      <c r="B601" s="19" t="n">
        <f aca="false">IF($A601="","",ROUNDUP($A601/12,0))</f>
        <v>50</v>
      </c>
      <c r="C601" s="19" t="n">
        <f aca="false">IF($A601="","",PARAMETROS!$C$6+INT(($A601-1)/12))</f>
        <v>114</v>
      </c>
      <c r="D601" s="19" t="n">
        <f aca="false">IF($A601="","",MOD($A601-1,12)+1)</f>
        <v>11</v>
      </c>
      <c r="E601" s="20" t="str">
        <f aca="false">IF($A601&gt;PARAMETROS!$C$33,"",P600)</f>
        <v/>
      </c>
      <c r="F601" s="21" t="str">
        <f aca="false">IF($A601&gt;PARAMETROS!$C$33,"",PARAMETROS!$C$38)</f>
        <v/>
      </c>
      <c r="G601" s="20" t="str">
        <f aca="false">IF($A601&gt;PARAMETROS!$C$33,"",E601*F601)</f>
        <v/>
      </c>
      <c r="H601" s="20" t="str">
        <f aca="false">IF($A601&gt;PARAMETROS!$C$33,"",E601*PARAMETROS!$C$39)</f>
        <v/>
      </c>
      <c r="I601" s="20" t="str">
        <f aca="false">IF($A601&gt;PARAMETROS!$C$33,"",G601-H601)</f>
        <v/>
      </c>
      <c r="J601" s="20" t="str">
        <f aca="false">IF($A601&gt;PARAMETROS!$C$33,"",PARAMETROS!$C$9*(1+PARAMETROS!$C$17)^(B601-1))</f>
        <v/>
      </c>
      <c r="K601" s="20" t="str">
        <f aca="false">IF($A601&gt;PARAMETROS!$C$33,"",K600*(1+PARAMETROS!$C$36))</f>
        <v/>
      </c>
      <c r="L601" s="20" t="str">
        <f aca="false">IF($A601&gt;PARAMETROS!$C$33,"",L600*(1+PARAMETROS!$C$37)*(1+M601))</f>
        <v/>
      </c>
      <c r="M601" s="21" t="str">
        <f aca="false">IF($A601&gt;PARAMETROS!$C$33,"",IF(C601&lt;70,PARAMETROS!$C$40,IF(C601&lt;75,PARAMETROS!$C$41,IF(C601&lt;80,PARAMETROS!$C$42,IF(C601&lt;85,PARAMETROS!$C$43,IF(C601&lt;90,PARAMETROS!$C$44,PARAMETROS!$C$45))))))</f>
        <v/>
      </c>
      <c r="N601" s="20" t="str">
        <f aca="false">IF($A601&gt;PARAMETROS!$C$33,"",K601+L601)</f>
        <v/>
      </c>
      <c r="O601" s="20" t="str">
        <f aca="false">IF($A601&gt;PARAMETROS!$C$33,"",I601+J601-N601)</f>
        <v/>
      </c>
      <c r="P601" s="20" t="str">
        <f aca="false">IF($A601&gt;PARAMETROS!$C$33,"",MAX(E601+I601+J601-N601,0))</f>
        <v/>
      </c>
      <c r="Q601" s="22" t="str">
        <f aca="false">IF($A601&gt;PARAMETROS!$C$33,"",IF(P601&lt;=0,"AGOTADO","OK"))</f>
        <v/>
      </c>
    </row>
    <row r="602" customFormat="false" ht="15" hidden="false" customHeight="false" outlineLevel="0" collapsed="false">
      <c r="A602" s="19" t="n">
        <f aca="false">A601+1</f>
        <v>600</v>
      </c>
      <c r="B602" s="19" t="n">
        <f aca="false">IF($A602="","",ROUNDUP($A602/12,0))</f>
        <v>50</v>
      </c>
      <c r="C602" s="19" t="n">
        <f aca="false">IF($A602="","",PARAMETROS!$C$6+INT(($A602-1)/12))</f>
        <v>114</v>
      </c>
      <c r="D602" s="19" t="n">
        <f aca="false">IF($A602="","",MOD($A602-1,12)+1)</f>
        <v>12</v>
      </c>
      <c r="E602" s="20" t="str">
        <f aca="false">IF($A602&gt;PARAMETROS!$C$33,"",P601)</f>
        <v/>
      </c>
      <c r="F602" s="21" t="str">
        <f aca="false">IF($A602&gt;PARAMETROS!$C$33,"",PARAMETROS!$C$38)</f>
        <v/>
      </c>
      <c r="G602" s="20" t="str">
        <f aca="false">IF($A602&gt;PARAMETROS!$C$33,"",E602*F602)</f>
        <v/>
      </c>
      <c r="H602" s="20" t="str">
        <f aca="false">IF($A602&gt;PARAMETROS!$C$33,"",E602*PARAMETROS!$C$39)</f>
        <v/>
      </c>
      <c r="I602" s="20" t="str">
        <f aca="false">IF($A602&gt;PARAMETROS!$C$33,"",G602-H602)</f>
        <v/>
      </c>
      <c r="J602" s="20" t="str">
        <f aca="false">IF($A602&gt;PARAMETROS!$C$33,"",PARAMETROS!$C$9*(1+PARAMETROS!$C$17)^(B602-1))</f>
        <v/>
      </c>
      <c r="K602" s="20" t="str">
        <f aca="false">IF($A602&gt;PARAMETROS!$C$33,"",K601*(1+PARAMETROS!$C$36))</f>
        <v/>
      </c>
      <c r="L602" s="20" t="str">
        <f aca="false">IF($A602&gt;PARAMETROS!$C$33,"",L601*(1+PARAMETROS!$C$37)*(1+M602))</f>
        <v/>
      </c>
      <c r="M602" s="21" t="str">
        <f aca="false">IF($A602&gt;PARAMETROS!$C$33,"",IF(C602&lt;70,PARAMETROS!$C$40,IF(C602&lt;75,PARAMETROS!$C$41,IF(C602&lt;80,PARAMETROS!$C$42,IF(C602&lt;85,PARAMETROS!$C$43,IF(C602&lt;90,PARAMETROS!$C$44,PARAMETROS!$C$45))))))</f>
        <v/>
      </c>
      <c r="N602" s="20" t="str">
        <f aca="false">IF($A602&gt;PARAMETROS!$C$33,"",K602+L602)</f>
        <v/>
      </c>
      <c r="O602" s="20" t="str">
        <f aca="false">IF($A602&gt;PARAMETROS!$C$33,"",I602+J602-N602)</f>
        <v/>
      </c>
      <c r="P602" s="20" t="str">
        <f aca="false">IF($A602&gt;PARAMETROS!$C$33,"",MAX(E602+I602+J602-N602,0))</f>
        <v/>
      </c>
      <c r="Q602" s="22" t="str">
        <f aca="false">IF($A602&gt;PARAMETROS!$C$33,"",IF(P602&lt;=0,"AGOTADO","OK"))</f>
        <v/>
      </c>
    </row>
    <row r="603" customFormat="false" ht="15" hidden="false" customHeight="false" outlineLevel="0" collapsed="false">
      <c r="A603" s="15" t="n">
        <f aca="false">A602+1</f>
        <v>601</v>
      </c>
      <c r="B603" s="15" t="n">
        <f aca="false">IF($A603="","",ROUNDUP($A603/12,0))</f>
        <v>51</v>
      </c>
      <c r="C603" s="15" t="n">
        <f aca="false">IF($A603="","",PARAMETROS!$C$6+INT(($A603-1)/12))</f>
        <v>115</v>
      </c>
      <c r="D603" s="15" t="n">
        <f aca="false">IF($A603="","",MOD($A603-1,12)+1)</f>
        <v>1</v>
      </c>
      <c r="E603" s="16" t="str">
        <f aca="false">IF($A603&gt;PARAMETROS!$C$33,"",P602)</f>
        <v/>
      </c>
      <c r="F603" s="17" t="str">
        <f aca="false">IF($A603&gt;PARAMETROS!$C$33,"",PARAMETROS!$C$38)</f>
        <v/>
      </c>
      <c r="G603" s="16" t="str">
        <f aca="false">IF($A603&gt;PARAMETROS!$C$33,"",E603*F603)</f>
        <v/>
      </c>
      <c r="H603" s="16" t="str">
        <f aca="false">IF($A603&gt;PARAMETROS!$C$33,"",E603*PARAMETROS!$C$39)</f>
        <v/>
      </c>
      <c r="I603" s="16" t="str">
        <f aca="false">IF($A603&gt;PARAMETROS!$C$33,"",G603-H603)</f>
        <v/>
      </c>
      <c r="J603" s="16" t="str">
        <f aca="false">IF($A603&gt;PARAMETROS!$C$33,"",PARAMETROS!$C$9*(1+PARAMETROS!$C$17)^(B603-1))</f>
        <v/>
      </c>
      <c r="K603" s="16" t="str">
        <f aca="false">IF($A603&gt;PARAMETROS!$C$33,"",K602*(1+PARAMETROS!$C$36))</f>
        <v/>
      </c>
      <c r="L603" s="16" t="str">
        <f aca="false">IF($A603&gt;PARAMETROS!$C$33,"",L602*(1+PARAMETROS!$C$37)*(1+M603))</f>
        <v/>
      </c>
      <c r="M603" s="17" t="str">
        <f aca="false">IF($A603&gt;PARAMETROS!$C$33,"",IF(C603&lt;70,PARAMETROS!$C$40,IF(C603&lt;75,PARAMETROS!$C$41,IF(C603&lt;80,PARAMETROS!$C$42,IF(C603&lt;85,PARAMETROS!$C$43,IF(C603&lt;90,PARAMETROS!$C$44,PARAMETROS!$C$45))))))</f>
        <v/>
      </c>
      <c r="N603" s="16" t="str">
        <f aca="false">IF($A603&gt;PARAMETROS!$C$33,"",K603+L603)</f>
        <v/>
      </c>
      <c r="O603" s="16" t="str">
        <f aca="false">IF($A603&gt;PARAMETROS!$C$33,"",I603+J603-N603)</f>
        <v/>
      </c>
      <c r="P603" s="16" t="str">
        <f aca="false">IF($A603&gt;PARAMETROS!$C$33,"",MAX(E603+I603+J603-N603,0))</f>
        <v/>
      </c>
      <c r="Q603" s="18" t="str">
        <f aca="false">IF($A603&gt;PARAMETROS!$C$33,"",IF(P603&lt;=0,"AGOTADO","OK"))</f>
        <v/>
      </c>
    </row>
    <row r="604" customFormat="false" ht="15" hidden="false" customHeight="false" outlineLevel="0" collapsed="false">
      <c r="A604" s="15" t="n">
        <f aca="false">A603+1</f>
        <v>602</v>
      </c>
      <c r="B604" s="15" t="n">
        <f aca="false">IF($A604="","",ROUNDUP($A604/12,0))</f>
        <v>51</v>
      </c>
      <c r="C604" s="15" t="n">
        <f aca="false">IF($A604="","",PARAMETROS!$C$6+INT(($A604-1)/12))</f>
        <v>115</v>
      </c>
      <c r="D604" s="15" t="n">
        <f aca="false">IF($A604="","",MOD($A604-1,12)+1)</f>
        <v>2</v>
      </c>
      <c r="E604" s="16" t="str">
        <f aca="false">IF($A604&gt;PARAMETROS!$C$33,"",P603)</f>
        <v/>
      </c>
      <c r="F604" s="17" t="str">
        <f aca="false">IF($A604&gt;PARAMETROS!$C$33,"",PARAMETROS!$C$38)</f>
        <v/>
      </c>
      <c r="G604" s="16" t="str">
        <f aca="false">IF($A604&gt;PARAMETROS!$C$33,"",E604*F604)</f>
        <v/>
      </c>
      <c r="H604" s="16" t="str">
        <f aca="false">IF($A604&gt;PARAMETROS!$C$33,"",E604*PARAMETROS!$C$39)</f>
        <v/>
      </c>
      <c r="I604" s="16" t="str">
        <f aca="false">IF($A604&gt;PARAMETROS!$C$33,"",G604-H604)</f>
        <v/>
      </c>
      <c r="J604" s="16" t="str">
        <f aca="false">IF($A604&gt;PARAMETROS!$C$33,"",PARAMETROS!$C$9*(1+PARAMETROS!$C$17)^(B604-1))</f>
        <v/>
      </c>
      <c r="K604" s="16" t="str">
        <f aca="false">IF($A604&gt;PARAMETROS!$C$33,"",K603*(1+PARAMETROS!$C$36))</f>
        <v/>
      </c>
      <c r="L604" s="16" t="str">
        <f aca="false">IF($A604&gt;PARAMETROS!$C$33,"",L603*(1+PARAMETROS!$C$37)*(1+M604))</f>
        <v/>
      </c>
      <c r="M604" s="17" t="str">
        <f aca="false">IF($A604&gt;PARAMETROS!$C$33,"",IF(C604&lt;70,PARAMETROS!$C$40,IF(C604&lt;75,PARAMETROS!$C$41,IF(C604&lt;80,PARAMETROS!$C$42,IF(C604&lt;85,PARAMETROS!$C$43,IF(C604&lt;90,PARAMETROS!$C$44,PARAMETROS!$C$45))))))</f>
        <v/>
      </c>
      <c r="N604" s="16" t="str">
        <f aca="false">IF($A604&gt;PARAMETROS!$C$33,"",K604+L604)</f>
        <v/>
      </c>
      <c r="O604" s="16" t="str">
        <f aca="false">IF($A604&gt;PARAMETROS!$C$33,"",I604+J604-N604)</f>
        <v/>
      </c>
      <c r="P604" s="16" t="str">
        <f aca="false">IF($A604&gt;PARAMETROS!$C$33,"",MAX(E604+I604+J604-N604,0))</f>
        <v/>
      </c>
      <c r="Q604" s="18" t="str">
        <f aca="false">IF($A604&gt;PARAMETROS!$C$33,"",IF(P604&lt;=0,"AGOTADO","OK"))</f>
        <v/>
      </c>
    </row>
    <row r="605" customFormat="false" ht="15" hidden="false" customHeight="false" outlineLevel="0" collapsed="false">
      <c r="A605" s="15" t="n">
        <f aca="false">A604+1</f>
        <v>603</v>
      </c>
      <c r="B605" s="15" t="n">
        <f aca="false">IF($A605="","",ROUNDUP($A605/12,0))</f>
        <v>51</v>
      </c>
      <c r="C605" s="15" t="n">
        <f aca="false">IF($A605="","",PARAMETROS!$C$6+INT(($A605-1)/12))</f>
        <v>115</v>
      </c>
      <c r="D605" s="15" t="n">
        <f aca="false">IF($A605="","",MOD($A605-1,12)+1)</f>
        <v>3</v>
      </c>
      <c r="E605" s="16" t="str">
        <f aca="false">IF($A605&gt;PARAMETROS!$C$33,"",P604)</f>
        <v/>
      </c>
      <c r="F605" s="17" t="str">
        <f aca="false">IF($A605&gt;PARAMETROS!$C$33,"",PARAMETROS!$C$38)</f>
        <v/>
      </c>
      <c r="G605" s="16" t="str">
        <f aca="false">IF($A605&gt;PARAMETROS!$C$33,"",E605*F605)</f>
        <v/>
      </c>
      <c r="H605" s="16" t="str">
        <f aca="false">IF($A605&gt;PARAMETROS!$C$33,"",E605*PARAMETROS!$C$39)</f>
        <v/>
      </c>
      <c r="I605" s="16" t="str">
        <f aca="false">IF($A605&gt;PARAMETROS!$C$33,"",G605-H605)</f>
        <v/>
      </c>
      <c r="J605" s="16" t="str">
        <f aca="false">IF($A605&gt;PARAMETROS!$C$33,"",PARAMETROS!$C$9*(1+PARAMETROS!$C$17)^(B605-1))</f>
        <v/>
      </c>
      <c r="K605" s="16" t="str">
        <f aca="false">IF($A605&gt;PARAMETROS!$C$33,"",K604*(1+PARAMETROS!$C$36))</f>
        <v/>
      </c>
      <c r="L605" s="16" t="str">
        <f aca="false">IF($A605&gt;PARAMETROS!$C$33,"",L604*(1+PARAMETROS!$C$37)*(1+M605))</f>
        <v/>
      </c>
      <c r="M605" s="17" t="str">
        <f aca="false">IF($A605&gt;PARAMETROS!$C$33,"",IF(C605&lt;70,PARAMETROS!$C$40,IF(C605&lt;75,PARAMETROS!$C$41,IF(C605&lt;80,PARAMETROS!$C$42,IF(C605&lt;85,PARAMETROS!$C$43,IF(C605&lt;90,PARAMETROS!$C$44,PARAMETROS!$C$45))))))</f>
        <v/>
      </c>
      <c r="N605" s="16" t="str">
        <f aca="false">IF($A605&gt;PARAMETROS!$C$33,"",K605+L605)</f>
        <v/>
      </c>
      <c r="O605" s="16" t="str">
        <f aca="false">IF($A605&gt;PARAMETROS!$C$33,"",I605+J605-N605)</f>
        <v/>
      </c>
      <c r="P605" s="16" t="str">
        <f aca="false">IF($A605&gt;PARAMETROS!$C$33,"",MAX(E605+I605+J605-N605,0))</f>
        <v/>
      </c>
      <c r="Q605" s="18" t="str">
        <f aca="false">IF($A605&gt;PARAMETROS!$C$33,"",IF(P605&lt;=0,"AGOTADO","OK"))</f>
        <v/>
      </c>
    </row>
    <row r="606" customFormat="false" ht="15" hidden="false" customHeight="false" outlineLevel="0" collapsed="false">
      <c r="A606" s="15" t="n">
        <f aca="false">A605+1</f>
        <v>604</v>
      </c>
      <c r="B606" s="15" t="n">
        <f aca="false">IF($A606="","",ROUNDUP($A606/12,0))</f>
        <v>51</v>
      </c>
      <c r="C606" s="15" t="n">
        <f aca="false">IF($A606="","",PARAMETROS!$C$6+INT(($A606-1)/12))</f>
        <v>115</v>
      </c>
      <c r="D606" s="15" t="n">
        <f aca="false">IF($A606="","",MOD($A606-1,12)+1)</f>
        <v>4</v>
      </c>
      <c r="E606" s="16" t="str">
        <f aca="false">IF($A606&gt;PARAMETROS!$C$33,"",P605)</f>
        <v/>
      </c>
      <c r="F606" s="17" t="str">
        <f aca="false">IF($A606&gt;PARAMETROS!$C$33,"",PARAMETROS!$C$38)</f>
        <v/>
      </c>
      <c r="G606" s="16" t="str">
        <f aca="false">IF($A606&gt;PARAMETROS!$C$33,"",E606*F606)</f>
        <v/>
      </c>
      <c r="H606" s="16" t="str">
        <f aca="false">IF($A606&gt;PARAMETROS!$C$33,"",E606*PARAMETROS!$C$39)</f>
        <v/>
      </c>
      <c r="I606" s="16" t="str">
        <f aca="false">IF($A606&gt;PARAMETROS!$C$33,"",G606-H606)</f>
        <v/>
      </c>
      <c r="J606" s="16" t="str">
        <f aca="false">IF($A606&gt;PARAMETROS!$C$33,"",PARAMETROS!$C$9*(1+PARAMETROS!$C$17)^(B606-1))</f>
        <v/>
      </c>
      <c r="K606" s="16" t="str">
        <f aca="false">IF($A606&gt;PARAMETROS!$C$33,"",K605*(1+PARAMETROS!$C$36))</f>
        <v/>
      </c>
      <c r="L606" s="16" t="str">
        <f aca="false">IF($A606&gt;PARAMETROS!$C$33,"",L605*(1+PARAMETROS!$C$37)*(1+M606))</f>
        <v/>
      </c>
      <c r="M606" s="17" t="str">
        <f aca="false">IF($A606&gt;PARAMETROS!$C$33,"",IF(C606&lt;70,PARAMETROS!$C$40,IF(C606&lt;75,PARAMETROS!$C$41,IF(C606&lt;80,PARAMETROS!$C$42,IF(C606&lt;85,PARAMETROS!$C$43,IF(C606&lt;90,PARAMETROS!$C$44,PARAMETROS!$C$45))))))</f>
        <v/>
      </c>
      <c r="N606" s="16" t="str">
        <f aca="false">IF($A606&gt;PARAMETROS!$C$33,"",K606+L606)</f>
        <v/>
      </c>
      <c r="O606" s="16" t="str">
        <f aca="false">IF($A606&gt;PARAMETROS!$C$33,"",I606+J606-N606)</f>
        <v/>
      </c>
      <c r="P606" s="16" t="str">
        <f aca="false">IF($A606&gt;PARAMETROS!$C$33,"",MAX(E606+I606+J606-N606,0))</f>
        <v/>
      </c>
      <c r="Q606" s="18" t="str">
        <f aca="false">IF($A606&gt;PARAMETROS!$C$33,"",IF(P606&lt;=0,"AGOTADO","OK"))</f>
        <v/>
      </c>
    </row>
    <row r="607" customFormat="false" ht="15" hidden="false" customHeight="false" outlineLevel="0" collapsed="false">
      <c r="A607" s="15" t="n">
        <f aca="false">A606+1</f>
        <v>605</v>
      </c>
      <c r="B607" s="15" t="n">
        <f aca="false">IF($A607="","",ROUNDUP($A607/12,0))</f>
        <v>51</v>
      </c>
      <c r="C607" s="15" t="n">
        <f aca="false">IF($A607="","",PARAMETROS!$C$6+INT(($A607-1)/12))</f>
        <v>115</v>
      </c>
      <c r="D607" s="15" t="n">
        <f aca="false">IF($A607="","",MOD($A607-1,12)+1)</f>
        <v>5</v>
      </c>
      <c r="E607" s="16" t="str">
        <f aca="false">IF($A607&gt;PARAMETROS!$C$33,"",P606)</f>
        <v/>
      </c>
      <c r="F607" s="17" t="str">
        <f aca="false">IF($A607&gt;PARAMETROS!$C$33,"",PARAMETROS!$C$38)</f>
        <v/>
      </c>
      <c r="G607" s="16" t="str">
        <f aca="false">IF($A607&gt;PARAMETROS!$C$33,"",E607*F607)</f>
        <v/>
      </c>
      <c r="H607" s="16" t="str">
        <f aca="false">IF($A607&gt;PARAMETROS!$C$33,"",E607*PARAMETROS!$C$39)</f>
        <v/>
      </c>
      <c r="I607" s="16" t="str">
        <f aca="false">IF($A607&gt;PARAMETROS!$C$33,"",G607-H607)</f>
        <v/>
      </c>
      <c r="J607" s="16" t="str">
        <f aca="false">IF($A607&gt;PARAMETROS!$C$33,"",PARAMETROS!$C$9*(1+PARAMETROS!$C$17)^(B607-1))</f>
        <v/>
      </c>
      <c r="K607" s="16" t="str">
        <f aca="false">IF($A607&gt;PARAMETROS!$C$33,"",K606*(1+PARAMETROS!$C$36))</f>
        <v/>
      </c>
      <c r="L607" s="16" t="str">
        <f aca="false">IF($A607&gt;PARAMETROS!$C$33,"",L606*(1+PARAMETROS!$C$37)*(1+M607))</f>
        <v/>
      </c>
      <c r="M607" s="17" t="str">
        <f aca="false">IF($A607&gt;PARAMETROS!$C$33,"",IF(C607&lt;70,PARAMETROS!$C$40,IF(C607&lt;75,PARAMETROS!$C$41,IF(C607&lt;80,PARAMETROS!$C$42,IF(C607&lt;85,PARAMETROS!$C$43,IF(C607&lt;90,PARAMETROS!$C$44,PARAMETROS!$C$45))))))</f>
        <v/>
      </c>
      <c r="N607" s="16" t="str">
        <f aca="false">IF($A607&gt;PARAMETROS!$C$33,"",K607+L607)</f>
        <v/>
      </c>
      <c r="O607" s="16" t="str">
        <f aca="false">IF($A607&gt;PARAMETROS!$C$33,"",I607+J607-N607)</f>
        <v/>
      </c>
      <c r="P607" s="16" t="str">
        <f aca="false">IF($A607&gt;PARAMETROS!$C$33,"",MAX(E607+I607+J607-N607,0))</f>
        <v/>
      </c>
      <c r="Q607" s="18" t="str">
        <f aca="false">IF($A607&gt;PARAMETROS!$C$33,"",IF(P607&lt;=0,"AGOTADO","OK"))</f>
        <v/>
      </c>
    </row>
    <row r="608" customFormat="false" ht="15" hidden="false" customHeight="false" outlineLevel="0" collapsed="false">
      <c r="A608" s="15" t="n">
        <f aca="false">A607+1</f>
        <v>606</v>
      </c>
      <c r="B608" s="15" t="n">
        <f aca="false">IF($A608="","",ROUNDUP($A608/12,0))</f>
        <v>51</v>
      </c>
      <c r="C608" s="15" t="n">
        <f aca="false">IF($A608="","",PARAMETROS!$C$6+INT(($A608-1)/12))</f>
        <v>115</v>
      </c>
      <c r="D608" s="15" t="n">
        <f aca="false">IF($A608="","",MOD($A608-1,12)+1)</f>
        <v>6</v>
      </c>
      <c r="E608" s="16" t="str">
        <f aca="false">IF($A608&gt;PARAMETROS!$C$33,"",P607)</f>
        <v/>
      </c>
      <c r="F608" s="17" t="str">
        <f aca="false">IF($A608&gt;PARAMETROS!$C$33,"",PARAMETROS!$C$38)</f>
        <v/>
      </c>
      <c r="G608" s="16" t="str">
        <f aca="false">IF($A608&gt;PARAMETROS!$C$33,"",E608*F608)</f>
        <v/>
      </c>
      <c r="H608" s="16" t="str">
        <f aca="false">IF($A608&gt;PARAMETROS!$C$33,"",E608*PARAMETROS!$C$39)</f>
        <v/>
      </c>
      <c r="I608" s="16" t="str">
        <f aca="false">IF($A608&gt;PARAMETROS!$C$33,"",G608-H608)</f>
        <v/>
      </c>
      <c r="J608" s="16" t="str">
        <f aca="false">IF($A608&gt;PARAMETROS!$C$33,"",PARAMETROS!$C$9*(1+PARAMETROS!$C$17)^(B608-1))</f>
        <v/>
      </c>
      <c r="K608" s="16" t="str">
        <f aca="false">IF($A608&gt;PARAMETROS!$C$33,"",K607*(1+PARAMETROS!$C$36))</f>
        <v/>
      </c>
      <c r="L608" s="16" t="str">
        <f aca="false">IF($A608&gt;PARAMETROS!$C$33,"",L607*(1+PARAMETROS!$C$37)*(1+M608))</f>
        <v/>
      </c>
      <c r="M608" s="17" t="str">
        <f aca="false">IF($A608&gt;PARAMETROS!$C$33,"",IF(C608&lt;70,PARAMETROS!$C$40,IF(C608&lt;75,PARAMETROS!$C$41,IF(C608&lt;80,PARAMETROS!$C$42,IF(C608&lt;85,PARAMETROS!$C$43,IF(C608&lt;90,PARAMETROS!$C$44,PARAMETROS!$C$45))))))</f>
        <v/>
      </c>
      <c r="N608" s="16" t="str">
        <f aca="false">IF($A608&gt;PARAMETROS!$C$33,"",K608+L608)</f>
        <v/>
      </c>
      <c r="O608" s="16" t="str">
        <f aca="false">IF($A608&gt;PARAMETROS!$C$33,"",I608+J608-N608)</f>
        <v/>
      </c>
      <c r="P608" s="16" t="str">
        <f aca="false">IF($A608&gt;PARAMETROS!$C$33,"",MAX(E608+I608+J608-N608,0))</f>
        <v/>
      </c>
      <c r="Q608" s="18" t="str">
        <f aca="false">IF($A608&gt;PARAMETROS!$C$33,"",IF(P608&lt;=0,"AGOTADO","OK"))</f>
        <v/>
      </c>
    </row>
    <row r="609" customFormat="false" ht="15" hidden="false" customHeight="false" outlineLevel="0" collapsed="false">
      <c r="A609" s="15" t="n">
        <f aca="false">A608+1</f>
        <v>607</v>
      </c>
      <c r="B609" s="15" t="n">
        <f aca="false">IF($A609="","",ROUNDUP($A609/12,0))</f>
        <v>51</v>
      </c>
      <c r="C609" s="15" t="n">
        <f aca="false">IF($A609="","",PARAMETROS!$C$6+INT(($A609-1)/12))</f>
        <v>115</v>
      </c>
      <c r="D609" s="15" t="n">
        <f aca="false">IF($A609="","",MOD($A609-1,12)+1)</f>
        <v>7</v>
      </c>
      <c r="E609" s="16" t="str">
        <f aca="false">IF($A609&gt;PARAMETROS!$C$33,"",P608)</f>
        <v/>
      </c>
      <c r="F609" s="17" t="str">
        <f aca="false">IF($A609&gt;PARAMETROS!$C$33,"",PARAMETROS!$C$38)</f>
        <v/>
      </c>
      <c r="G609" s="16" t="str">
        <f aca="false">IF($A609&gt;PARAMETROS!$C$33,"",E609*F609)</f>
        <v/>
      </c>
      <c r="H609" s="16" t="str">
        <f aca="false">IF($A609&gt;PARAMETROS!$C$33,"",E609*PARAMETROS!$C$39)</f>
        <v/>
      </c>
      <c r="I609" s="16" t="str">
        <f aca="false">IF($A609&gt;PARAMETROS!$C$33,"",G609-H609)</f>
        <v/>
      </c>
      <c r="J609" s="16" t="str">
        <f aca="false">IF($A609&gt;PARAMETROS!$C$33,"",PARAMETROS!$C$9*(1+PARAMETROS!$C$17)^(B609-1))</f>
        <v/>
      </c>
      <c r="K609" s="16" t="str">
        <f aca="false">IF($A609&gt;PARAMETROS!$C$33,"",K608*(1+PARAMETROS!$C$36))</f>
        <v/>
      </c>
      <c r="L609" s="16" t="str">
        <f aca="false">IF($A609&gt;PARAMETROS!$C$33,"",L608*(1+PARAMETROS!$C$37)*(1+M609))</f>
        <v/>
      </c>
      <c r="M609" s="17" t="str">
        <f aca="false">IF($A609&gt;PARAMETROS!$C$33,"",IF(C609&lt;70,PARAMETROS!$C$40,IF(C609&lt;75,PARAMETROS!$C$41,IF(C609&lt;80,PARAMETROS!$C$42,IF(C609&lt;85,PARAMETROS!$C$43,IF(C609&lt;90,PARAMETROS!$C$44,PARAMETROS!$C$45))))))</f>
        <v/>
      </c>
      <c r="N609" s="16" t="str">
        <f aca="false">IF($A609&gt;PARAMETROS!$C$33,"",K609+L609)</f>
        <v/>
      </c>
      <c r="O609" s="16" t="str">
        <f aca="false">IF($A609&gt;PARAMETROS!$C$33,"",I609+J609-N609)</f>
        <v/>
      </c>
      <c r="P609" s="16" t="str">
        <f aca="false">IF($A609&gt;PARAMETROS!$C$33,"",MAX(E609+I609+J609-N609,0))</f>
        <v/>
      </c>
      <c r="Q609" s="18" t="str">
        <f aca="false">IF($A609&gt;PARAMETROS!$C$33,"",IF(P609&lt;=0,"AGOTADO","OK"))</f>
        <v/>
      </c>
    </row>
    <row r="610" customFormat="false" ht="15" hidden="false" customHeight="false" outlineLevel="0" collapsed="false">
      <c r="A610" s="15" t="n">
        <f aca="false">A609+1</f>
        <v>608</v>
      </c>
      <c r="B610" s="15" t="n">
        <f aca="false">IF($A610="","",ROUNDUP($A610/12,0))</f>
        <v>51</v>
      </c>
      <c r="C610" s="15" t="n">
        <f aca="false">IF($A610="","",PARAMETROS!$C$6+INT(($A610-1)/12))</f>
        <v>115</v>
      </c>
      <c r="D610" s="15" t="n">
        <f aca="false">IF($A610="","",MOD($A610-1,12)+1)</f>
        <v>8</v>
      </c>
      <c r="E610" s="16" t="str">
        <f aca="false">IF($A610&gt;PARAMETROS!$C$33,"",P609)</f>
        <v/>
      </c>
      <c r="F610" s="17" t="str">
        <f aca="false">IF($A610&gt;PARAMETROS!$C$33,"",PARAMETROS!$C$38)</f>
        <v/>
      </c>
      <c r="G610" s="16" t="str">
        <f aca="false">IF($A610&gt;PARAMETROS!$C$33,"",E610*F610)</f>
        <v/>
      </c>
      <c r="H610" s="16" t="str">
        <f aca="false">IF($A610&gt;PARAMETROS!$C$33,"",E610*PARAMETROS!$C$39)</f>
        <v/>
      </c>
      <c r="I610" s="16" t="str">
        <f aca="false">IF($A610&gt;PARAMETROS!$C$33,"",G610-H610)</f>
        <v/>
      </c>
      <c r="J610" s="16" t="str">
        <f aca="false">IF($A610&gt;PARAMETROS!$C$33,"",PARAMETROS!$C$9*(1+PARAMETROS!$C$17)^(B610-1))</f>
        <v/>
      </c>
      <c r="K610" s="16" t="str">
        <f aca="false">IF($A610&gt;PARAMETROS!$C$33,"",K609*(1+PARAMETROS!$C$36))</f>
        <v/>
      </c>
      <c r="L610" s="16" t="str">
        <f aca="false">IF($A610&gt;PARAMETROS!$C$33,"",L609*(1+PARAMETROS!$C$37)*(1+M610))</f>
        <v/>
      </c>
      <c r="M610" s="17" t="str">
        <f aca="false">IF($A610&gt;PARAMETROS!$C$33,"",IF(C610&lt;70,PARAMETROS!$C$40,IF(C610&lt;75,PARAMETROS!$C$41,IF(C610&lt;80,PARAMETROS!$C$42,IF(C610&lt;85,PARAMETROS!$C$43,IF(C610&lt;90,PARAMETROS!$C$44,PARAMETROS!$C$45))))))</f>
        <v/>
      </c>
      <c r="N610" s="16" t="str">
        <f aca="false">IF($A610&gt;PARAMETROS!$C$33,"",K610+L610)</f>
        <v/>
      </c>
      <c r="O610" s="16" t="str">
        <f aca="false">IF($A610&gt;PARAMETROS!$C$33,"",I610+J610-N610)</f>
        <v/>
      </c>
      <c r="P610" s="16" t="str">
        <f aca="false">IF($A610&gt;PARAMETROS!$C$33,"",MAX(E610+I610+J610-N610,0))</f>
        <v/>
      </c>
      <c r="Q610" s="18" t="str">
        <f aca="false">IF($A610&gt;PARAMETROS!$C$33,"",IF(P610&lt;=0,"AGOTADO","OK"))</f>
        <v/>
      </c>
    </row>
    <row r="611" customFormat="false" ht="15" hidden="false" customHeight="false" outlineLevel="0" collapsed="false">
      <c r="A611" s="15" t="n">
        <f aca="false">A610+1</f>
        <v>609</v>
      </c>
      <c r="B611" s="15" t="n">
        <f aca="false">IF($A611="","",ROUNDUP($A611/12,0))</f>
        <v>51</v>
      </c>
      <c r="C611" s="15" t="n">
        <f aca="false">IF($A611="","",PARAMETROS!$C$6+INT(($A611-1)/12))</f>
        <v>115</v>
      </c>
      <c r="D611" s="15" t="n">
        <f aca="false">IF($A611="","",MOD($A611-1,12)+1)</f>
        <v>9</v>
      </c>
      <c r="E611" s="16" t="str">
        <f aca="false">IF($A611&gt;PARAMETROS!$C$33,"",P610)</f>
        <v/>
      </c>
      <c r="F611" s="17" t="str">
        <f aca="false">IF($A611&gt;PARAMETROS!$C$33,"",PARAMETROS!$C$38)</f>
        <v/>
      </c>
      <c r="G611" s="16" t="str">
        <f aca="false">IF($A611&gt;PARAMETROS!$C$33,"",E611*F611)</f>
        <v/>
      </c>
      <c r="H611" s="16" t="str">
        <f aca="false">IF($A611&gt;PARAMETROS!$C$33,"",E611*PARAMETROS!$C$39)</f>
        <v/>
      </c>
      <c r="I611" s="16" t="str">
        <f aca="false">IF($A611&gt;PARAMETROS!$C$33,"",G611-H611)</f>
        <v/>
      </c>
      <c r="J611" s="16" t="str">
        <f aca="false">IF($A611&gt;PARAMETROS!$C$33,"",PARAMETROS!$C$9*(1+PARAMETROS!$C$17)^(B611-1))</f>
        <v/>
      </c>
      <c r="K611" s="16" t="str">
        <f aca="false">IF($A611&gt;PARAMETROS!$C$33,"",K610*(1+PARAMETROS!$C$36))</f>
        <v/>
      </c>
      <c r="L611" s="16" t="str">
        <f aca="false">IF($A611&gt;PARAMETROS!$C$33,"",L610*(1+PARAMETROS!$C$37)*(1+M611))</f>
        <v/>
      </c>
      <c r="M611" s="17" t="str">
        <f aca="false">IF($A611&gt;PARAMETROS!$C$33,"",IF(C611&lt;70,PARAMETROS!$C$40,IF(C611&lt;75,PARAMETROS!$C$41,IF(C611&lt;80,PARAMETROS!$C$42,IF(C611&lt;85,PARAMETROS!$C$43,IF(C611&lt;90,PARAMETROS!$C$44,PARAMETROS!$C$45))))))</f>
        <v/>
      </c>
      <c r="N611" s="16" t="str">
        <f aca="false">IF($A611&gt;PARAMETROS!$C$33,"",K611+L611)</f>
        <v/>
      </c>
      <c r="O611" s="16" t="str">
        <f aca="false">IF($A611&gt;PARAMETROS!$C$33,"",I611+J611-N611)</f>
        <v/>
      </c>
      <c r="P611" s="16" t="str">
        <f aca="false">IF($A611&gt;PARAMETROS!$C$33,"",MAX(E611+I611+J611-N611,0))</f>
        <v/>
      </c>
      <c r="Q611" s="18" t="str">
        <f aca="false">IF($A611&gt;PARAMETROS!$C$33,"",IF(P611&lt;=0,"AGOTADO","OK"))</f>
        <v/>
      </c>
    </row>
    <row r="612" customFormat="false" ht="15" hidden="false" customHeight="false" outlineLevel="0" collapsed="false">
      <c r="A612" s="15" t="n">
        <f aca="false">A611+1</f>
        <v>610</v>
      </c>
      <c r="B612" s="15" t="n">
        <f aca="false">IF($A612="","",ROUNDUP($A612/12,0))</f>
        <v>51</v>
      </c>
      <c r="C612" s="15" t="n">
        <f aca="false">IF($A612="","",PARAMETROS!$C$6+INT(($A612-1)/12))</f>
        <v>115</v>
      </c>
      <c r="D612" s="15" t="n">
        <f aca="false">IF($A612="","",MOD($A612-1,12)+1)</f>
        <v>10</v>
      </c>
      <c r="E612" s="16" t="str">
        <f aca="false">IF($A612&gt;PARAMETROS!$C$33,"",P611)</f>
        <v/>
      </c>
      <c r="F612" s="17" t="str">
        <f aca="false">IF($A612&gt;PARAMETROS!$C$33,"",PARAMETROS!$C$38)</f>
        <v/>
      </c>
      <c r="G612" s="16" t="str">
        <f aca="false">IF($A612&gt;PARAMETROS!$C$33,"",E612*F612)</f>
        <v/>
      </c>
      <c r="H612" s="16" t="str">
        <f aca="false">IF($A612&gt;PARAMETROS!$C$33,"",E612*PARAMETROS!$C$39)</f>
        <v/>
      </c>
      <c r="I612" s="16" t="str">
        <f aca="false">IF($A612&gt;PARAMETROS!$C$33,"",G612-H612)</f>
        <v/>
      </c>
      <c r="J612" s="16" t="str">
        <f aca="false">IF($A612&gt;PARAMETROS!$C$33,"",PARAMETROS!$C$9*(1+PARAMETROS!$C$17)^(B612-1))</f>
        <v/>
      </c>
      <c r="K612" s="16" t="str">
        <f aca="false">IF($A612&gt;PARAMETROS!$C$33,"",K611*(1+PARAMETROS!$C$36))</f>
        <v/>
      </c>
      <c r="L612" s="16" t="str">
        <f aca="false">IF($A612&gt;PARAMETROS!$C$33,"",L611*(1+PARAMETROS!$C$37)*(1+M612))</f>
        <v/>
      </c>
      <c r="M612" s="17" t="str">
        <f aca="false">IF($A612&gt;PARAMETROS!$C$33,"",IF(C612&lt;70,PARAMETROS!$C$40,IF(C612&lt;75,PARAMETROS!$C$41,IF(C612&lt;80,PARAMETROS!$C$42,IF(C612&lt;85,PARAMETROS!$C$43,IF(C612&lt;90,PARAMETROS!$C$44,PARAMETROS!$C$45))))))</f>
        <v/>
      </c>
      <c r="N612" s="16" t="str">
        <f aca="false">IF($A612&gt;PARAMETROS!$C$33,"",K612+L612)</f>
        <v/>
      </c>
      <c r="O612" s="16" t="str">
        <f aca="false">IF($A612&gt;PARAMETROS!$C$33,"",I612+J612-N612)</f>
        <v/>
      </c>
      <c r="P612" s="16" t="str">
        <f aca="false">IF($A612&gt;PARAMETROS!$C$33,"",MAX(E612+I612+J612-N612,0))</f>
        <v/>
      </c>
      <c r="Q612" s="18" t="str">
        <f aca="false">IF($A612&gt;PARAMETROS!$C$33,"",IF(P612&lt;=0,"AGOTADO","OK"))</f>
        <v/>
      </c>
    </row>
    <row r="613" customFormat="false" ht="15" hidden="false" customHeight="false" outlineLevel="0" collapsed="false">
      <c r="A613" s="15" t="n">
        <f aca="false">A612+1</f>
        <v>611</v>
      </c>
      <c r="B613" s="15" t="n">
        <f aca="false">IF($A613="","",ROUNDUP($A613/12,0))</f>
        <v>51</v>
      </c>
      <c r="C613" s="15" t="n">
        <f aca="false">IF($A613="","",PARAMETROS!$C$6+INT(($A613-1)/12))</f>
        <v>115</v>
      </c>
      <c r="D613" s="15" t="n">
        <f aca="false">IF($A613="","",MOD($A613-1,12)+1)</f>
        <v>11</v>
      </c>
      <c r="E613" s="16" t="str">
        <f aca="false">IF($A613&gt;PARAMETROS!$C$33,"",P612)</f>
        <v/>
      </c>
      <c r="F613" s="17" t="str">
        <f aca="false">IF($A613&gt;PARAMETROS!$C$33,"",PARAMETROS!$C$38)</f>
        <v/>
      </c>
      <c r="G613" s="16" t="str">
        <f aca="false">IF($A613&gt;PARAMETROS!$C$33,"",E613*F613)</f>
        <v/>
      </c>
      <c r="H613" s="16" t="str">
        <f aca="false">IF($A613&gt;PARAMETROS!$C$33,"",E613*PARAMETROS!$C$39)</f>
        <v/>
      </c>
      <c r="I613" s="16" t="str">
        <f aca="false">IF($A613&gt;PARAMETROS!$C$33,"",G613-H613)</f>
        <v/>
      </c>
      <c r="J613" s="16" t="str">
        <f aca="false">IF($A613&gt;PARAMETROS!$C$33,"",PARAMETROS!$C$9*(1+PARAMETROS!$C$17)^(B613-1))</f>
        <v/>
      </c>
      <c r="K613" s="16" t="str">
        <f aca="false">IF($A613&gt;PARAMETROS!$C$33,"",K612*(1+PARAMETROS!$C$36))</f>
        <v/>
      </c>
      <c r="L613" s="16" t="str">
        <f aca="false">IF($A613&gt;PARAMETROS!$C$33,"",L612*(1+PARAMETROS!$C$37)*(1+M613))</f>
        <v/>
      </c>
      <c r="M613" s="17" t="str">
        <f aca="false">IF($A613&gt;PARAMETROS!$C$33,"",IF(C613&lt;70,PARAMETROS!$C$40,IF(C613&lt;75,PARAMETROS!$C$41,IF(C613&lt;80,PARAMETROS!$C$42,IF(C613&lt;85,PARAMETROS!$C$43,IF(C613&lt;90,PARAMETROS!$C$44,PARAMETROS!$C$45))))))</f>
        <v/>
      </c>
      <c r="N613" s="16" t="str">
        <f aca="false">IF($A613&gt;PARAMETROS!$C$33,"",K613+L613)</f>
        <v/>
      </c>
      <c r="O613" s="16" t="str">
        <f aca="false">IF($A613&gt;PARAMETROS!$C$33,"",I613+J613-N613)</f>
        <v/>
      </c>
      <c r="P613" s="16" t="str">
        <f aca="false">IF($A613&gt;PARAMETROS!$C$33,"",MAX(E613+I613+J613-N613,0))</f>
        <v/>
      </c>
      <c r="Q613" s="18" t="str">
        <f aca="false">IF($A613&gt;PARAMETROS!$C$33,"",IF(P613&lt;=0,"AGOTADO","OK"))</f>
        <v/>
      </c>
    </row>
    <row r="614" customFormat="false" ht="15" hidden="false" customHeight="false" outlineLevel="0" collapsed="false">
      <c r="A614" s="15" t="n">
        <f aca="false">A613+1</f>
        <v>612</v>
      </c>
      <c r="B614" s="15" t="n">
        <f aca="false">IF($A614="","",ROUNDUP($A614/12,0))</f>
        <v>51</v>
      </c>
      <c r="C614" s="15" t="n">
        <f aca="false">IF($A614="","",PARAMETROS!$C$6+INT(($A614-1)/12))</f>
        <v>115</v>
      </c>
      <c r="D614" s="15" t="n">
        <f aca="false">IF($A614="","",MOD($A614-1,12)+1)</f>
        <v>12</v>
      </c>
      <c r="E614" s="16" t="str">
        <f aca="false">IF($A614&gt;PARAMETROS!$C$33,"",P613)</f>
        <v/>
      </c>
      <c r="F614" s="17" t="str">
        <f aca="false">IF($A614&gt;PARAMETROS!$C$33,"",PARAMETROS!$C$38)</f>
        <v/>
      </c>
      <c r="G614" s="16" t="str">
        <f aca="false">IF($A614&gt;PARAMETROS!$C$33,"",E614*F614)</f>
        <v/>
      </c>
      <c r="H614" s="16" t="str">
        <f aca="false">IF($A614&gt;PARAMETROS!$C$33,"",E614*PARAMETROS!$C$39)</f>
        <v/>
      </c>
      <c r="I614" s="16" t="str">
        <f aca="false">IF($A614&gt;PARAMETROS!$C$33,"",G614-H614)</f>
        <v/>
      </c>
      <c r="J614" s="16" t="str">
        <f aca="false">IF($A614&gt;PARAMETROS!$C$33,"",PARAMETROS!$C$9*(1+PARAMETROS!$C$17)^(B614-1))</f>
        <v/>
      </c>
      <c r="K614" s="16" t="str">
        <f aca="false">IF($A614&gt;PARAMETROS!$C$33,"",K613*(1+PARAMETROS!$C$36))</f>
        <v/>
      </c>
      <c r="L614" s="16" t="str">
        <f aca="false">IF($A614&gt;PARAMETROS!$C$33,"",L613*(1+PARAMETROS!$C$37)*(1+M614))</f>
        <v/>
      </c>
      <c r="M614" s="17" t="str">
        <f aca="false">IF($A614&gt;PARAMETROS!$C$33,"",IF(C614&lt;70,PARAMETROS!$C$40,IF(C614&lt;75,PARAMETROS!$C$41,IF(C614&lt;80,PARAMETROS!$C$42,IF(C614&lt;85,PARAMETROS!$C$43,IF(C614&lt;90,PARAMETROS!$C$44,PARAMETROS!$C$45))))))</f>
        <v/>
      </c>
      <c r="N614" s="16" t="str">
        <f aca="false">IF($A614&gt;PARAMETROS!$C$33,"",K614+L614)</f>
        <v/>
      </c>
      <c r="O614" s="16" t="str">
        <f aca="false">IF($A614&gt;PARAMETROS!$C$33,"",I614+J614-N614)</f>
        <v/>
      </c>
      <c r="P614" s="16" t="str">
        <f aca="false">IF($A614&gt;PARAMETROS!$C$33,"",MAX(E614+I614+J614-N614,0))</f>
        <v/>
      </c>
      <c r="Q614" s="18" t="str">
        <f aca="false">IF($A614&gt;PARAMETROS!$C$33,"",IF(P614&lt;=0,"AGOTADO","OK"))</f>
        <v/>
      </c>
    </row>
    <row r="615" customFormat="false" ht="15" hidden="false" customHeight="false" outlineLevel="0" collapsed="false">
      <c r="A615" s="19" t="n">
        <f aca="false">A614+1</f>
        <v>613</v>
      </c>
      <c r="B615" s="19" t="n">
        <f aca="false">IF($A615="","",ROUNDUP($A615/12,0))</f>
        <v>52</v>
      </c>
      <c r="C615" s="19" t="n">
        <f aca="false">IF($A615="","",PARAMETROS!$C$6+INT(($A615-1)/12))</f>
        <v>116</v>
      </c>
      <c r="D615" s="19" t="n">
        <f aca="false">IF($A615="","",MOD($A615-1,12)+1)</f>
        <v>1</v>
      </c>
      <c r="E615" s="20" t="str">
        <f aca="false">IF($A615&gt;PARAMETROS!$C$33,"",P614)</f>
        <v/>
      </c>
      <c r="F615" s="21" t="str">
        <f aca="false">IF($A615&gt;PARAMETROS!$C$33,"",PARAMETROS!$C$38)</f>
        <v/>
      </c>
      <c r="G615" s="20" t="str">
        <f aca="false">IF($A615&gt;PARAMETROS!$C$33,"",E615*F615)</f>
        <v/>
      </c>
      <c r="H615" s="20" t="str">
        <f aca="false">IF($A615&gt;PARAMETROS!$C$33,"",E615*PARAMETROS!$C$39)</f>
        <v/>
      </c>
      <c r="I615" s="20" t="str">
        <f aca="false">IF($A615&gt;PARAMETROS!$C$33,"",G615-H615)</f>
        <v/>
      </c>
      <c r="J615" s="20" t="str">
        <f aca="false">IF($A615&gt;PARAMETROS!$C$33,"",PARAMETROS!$C$9*(1+PARAMETROS!$C$17)^(B615-1))</f>
        <v/>
      </c>
      <c r="K615" s="20" t="str">
        <f aca="false">IF($A615&gt;PARAMETROS!$C$33,"",K614*(1+PARAMETROS!$C$36))</f>
        <v/>
      </c>
      <c r="L615" s="20" t="str">
        <f aca="false">IF($A615&gt;PARAMETROS!$C$33,"",L614*(1+PARAMETROS!$C$37)*(1+M615))</f>
        <v/>
      </c>
      <c r="M615" s="21" t="str">
        <f aca="false">IF($A615&gt;PARAMETROS!$C$33,"",IF(C615&lt;70,PARAMETROS!$C$40,IF(C615&lt;75,PARAMETROS!$C$41,IF(C615&lt;80,PARAMETROS!$C$42,IF(C615&lt;85,PARAMETROS!$C$43,IF(C615&lt;90,PARAMETROS!$C$44,PARAMETROS!$C$45))))))</f>
        <v/>
      </c>
      <c r="N615" s="20" t="str">
        <f aca="false">IF($A615&gt;PARAMETROS!$C$33,"",K615+L615)</f>
        <v/>
      </c>
      <c r="O615" s="20" t="str">
        <f aca="false">IF($A615&gt;PARAMETROS!$C$33,"",I615+J615-N615)</f>
        <v/>
      </c>
      <c r="P615" s="20" t="str">
        <f aca="false">IF($A615&gt;PARAMETROS!$C$33,"",MAX(E615+I615+J615-N615,0))</f>
        <v/>
      </c>
      <c r="Q615" s="22" t="str">
        <f aca="false">IF($A615&gt;PARAMETROS!$C$33,"",IF(P615&lt;=0,"AGOTADO","OK"))</f>
        <v/>
      </c>
    </row>
    <row r="616" customFormat="false" ht="15" hidden="false" customHeight="false" outlineLevel="0" collapsed="false">
      <c r="A616" s="19" t="n">
        <f aca="false">A615+1</f>
        <v>614</v>
      </c>
      <c r="B616" s="19" t="n">
        <f aca="false">IF($A616="","",ROUNDUP($A616/12,0))</f>
        <v>52</v>
      </c>
      <c r="C616" s="19" t="n">
        <f aca="false">IF($A616="","",PARAMETROS!$C$6+INT(($A616-1)/12))</f>
        <v>116</v>
      </c>
      <c r="D616" s="19" t="n">
        <f aca="false">IF($A616="","",MOD($A616-1,12)+1)</f>
        <v>2</v>
      </c>
      <c r="E616" s="20" t="str">
        <f aca="false">IF($A616&gt;PARAMETROS!$C$33,"",P615)</f>
        <v/>
      </c>
      <c r="F616" s="21" t="str">
        <f aca="false">IF($A616&gt;PARAMETROS!$C$33,"",PARAMETROS!$C$38)</f>
        <v/>
      </c>
      <c r="G616" s="20" t="str">
        <f aca="false">IF($A616&gt;PARAMETROS!$C$33,"",E616*F616)</f>
        <v/>
      </c>
      <c r="H616" s="20" t="str">
        <f aca="false">IF($A616&gt;PARAMETROS!$C$33,"",E616*PARAMETROS!$C$39)</f>
        <v/>
      </c>
      <c r="I616" s="20" t="str">
        <f aca="false">IF($A616&gt;PARAMETROS!$C$33,"",G616-H616)</f>
        <v/>
      </c>
      <c r="J616" s="20" t="str">
        <f aca="false">IF($A616&gt;PARAMETROS!$C$33,"",PARAMETROS!$C$9*(1+PARAMETROS!$C$17)^(B616-1))</f>
        <v/>
      </c>
      <c r="K616" s="20" t="str">
        <f aca="false">IF($A616&gt;PARAMETROS!$C$33,"",K615*(1+PARAMETROS!$C$36))</f>
        <v/>
      </c>
      <c r="L616" s="20" t="str">
        <f aca="false">IF($A616&gt;PARAMETROS!$C$33,"",L615*(1+PARAMETROS!$C$37)*(1+M616))</f>
        <v/>
      </c>
      <c r="M616" s="21" t="str">
        <f aca="false">IF($A616&gt;PARAMETROS!$C$33,"",IF(C616&lt;70,PARAMETROS!$C$40,IF(C616&lt;75,PARAMETROS!$C$41,IF(C616&lt;80,PARAMETROS!$C$42,IF(C616&lt;85,PARAMETROS!$C$43,IF(C616&lt;90,PARAMETROS!$C$44,PARAMETROS!$C$45))))))</f>
        <v/>
      </c>
      <c r="N616" s="20" t="str">
        <f aca="false">IF($A616&gt;PARAMETROS!$C$33,"",K616+L616)</f>
        <v/>
      </c>
      <c r="O616" s="20" t="str">
        <f aca="false">IF($A616&gt;PARAMETROS!$C$33,"",I616+J616-N616)</f>
        <v/>
      </c>
      <c r="P616" s="20" t="str">
        <f aca="false">IF($A616&gt;PARAMETROS!$C$33,"",MAX(E616+I616+J616-N616,0))</f>
        <v/>
      </c>
      <c r="Q616" s="22" t="str">
        <f aca="false">IF($A616&gt;PARAMETROS!$C$33,"",IF(P616&lt;=0,"AGOTADO","OK"))</f>
        <v/>
      </c>
    </row>
    <row r="617" customFormat="false" ht="15" hidden="false" customHeight="false" outlineLevel="0" collapsed="false">
      <c r="A617" s="19" t="n">
        <f aca="false">A616+1</f>
        <v>615</v>
      </c>
      <c r="B617" s="19" t="n">
        <f aca="false">IF($A617="","",ROUNDUP($A617/12,0))</f>
        <v>52</v>
      </c>
      <c r="C617" s="19" t="n">
        <f aca="false">IF($A617="","",PARAMETROS!$C$6+INT(($A617-1)/12))</f>
        <v>116</v>
      </c>
      <c r="D617" s="19" t="n">
        <f aca="false">IF($A617="","",MOD($A617-1,12)+1)</f>
        <v>3</v>
      </c>
      <c r="E617" s="20" t="str">
        <f aca="false">IF($A617&gt;PARAMETROS!$C$33,"",P616)</f>
        <v/>
      </c>
      <c r="F617" s="21" t="str">
        <f aca="false">IF($A617&gt;PARAMETROS!$C$33,"",PARAMETROS!$C$38)</f>
        <v/>
      </c>
      <c r="G617" s="20" t="str">
        <f aca="false">IF($A617&gt;PARAMETROS!$C$33,"",E617*F617)</f>
        <v/>
      </c>
      <c r="H617" s="20" t="str">
        <f aca="false">IF($A617&gt;PARAMETROS!$C$33,"",E617*PARAMETROS!$C$39)</f>
        <v/>
      </c>
      <c r="I617" s="20" t="str">
        <f aca="false">IF($A617&gt;PARAMETROS!$C$33,"",G617-H617)</f>
        <v/>
      </c>
      <c r="J617" s="20" t="str">
        <f aca="false">IF($A617&gt;PARAMETROS!$C$33,"",PARAMETROS!$C$9*(1+PARAMETROS!$C$17)^(B617-1))</f>
        <v/>
      </c>
      <c r="K617" s="20" t="str">
        <f aca="false">IF($A617&gt;PARAMETROS!$C$33,"",K616*(1+PARAMETROS!$C$36))</f>
        <v/>
      </c>
      <c r="L617" s="20" t="str">
        <f aca="false">IF($A617&gt;PARAMETROS!$C$33,"",L616*(1+PARAMETROS!$C$37)*(1+M617))</f>
        <v/>
      </c>
      <c r="M617" s="21" t="str">
        <f aca="false">IF($A617&gt;PARAMETROS!$C$33,"",IF(C617&lt;70,PARAMETROS!$C$40,IF(C617&lt;75,PARAMETROS!$C$41,IF(C617&lt;80,PARAMETROS!$C$42,IF(C617&lt;85,PARAMETROS!$C$43,IF(C617&lt;90,PARAMETROS!$C$44,PARAMETROS!$C$45))))))</f>
        <v/>
      </c>
      <c r="N617" s="20" t="str">
        <f aca="false">IF($A617&gt;PARAMETROS!$C$33,"",K617+L617)</f>
        <v/>
      </c>
      <c r="O617" s="20" t="str">
        <f aca="false">IF($A617&gt;PARAMETROS!$C$33,"",I617+J617-N617)</f>
        <v/>
      </c>
      <c r="P617" s="20" t="str">
        <f aca="false">IF($A617&gt;PARAMETROS!$C$33,"",MAX(E617+I617+J617-N617,0))</f>
        <v/>
      </c>
      <c r="Q617" s="22" t="str">
        <f aca="false">IF($A617&gt;PARAMETROS!$C$33,"",IF(P617&lt;=0,"AGOTADO","OK"))</f>
        <v/>
      </c>
    </row>
    <row r="618" customFormat="false" ht="15" hidden="false" customHeight="false" outlineLevel="0" collapsed="false">
      <c r="A618" s="19" t="n">
        <f aca="false">A617+1</f>
        <v>616</v>
      </c>
      <c r="B618" s="19" t="n">
        <f aca="false">IF($A618="","",ROUNDUP($A618/12,0))</f>
        <v>52</v>
      </c>
      <c r="C618" s="19" t="n">
        <f aca="false">IF($A618="","",PARAMETROS!$C$6+INT(($A618-1)/12))</f>
        <v>116</v>
      </c>
      <c r="D618" s="19" t="n">
        <f aca="false">IF($A618="","",MOD($A618-1,12)+1)</f>
        <v>4</v>
      </c>
      <c r="E618" s="20" t="str">
        <f aca="false">IF($A618&gt;PARAMETROS!$C$33,"",P617)</f>
        <v/>
      </c>
      <c r="F618" s="21" t="str">
        <f aca="false">IF($A618&gt;PARAMETROS!$C$33,"",PARAMETROS!$C$38)</f>
        <v/>
      </c>
      <c r="G618" s="20" t="str">
        <f aca="false">IF($A618&gt;PARAMETROS!$C$33,"",E618*F618)</f>
        <v/>
      </c>
      <c r="H618" s="20" t="str">
        <f aca="false">IF($A618&gt;PARAMETROS!$C$33,"",E618*PARAMETROS!$C$39)</f>
        <v/>
      </c>
      <c r="I618" s="20" t="str">
        <f aca="false">IF($A618&gt;PARAMETROS!$C$33,"",G618-H618)</f>
        <v/>
      </c>
      <c r="J618" s="20" t="str">
        <f aca="false">IF($A618&gt;PARAMETROS!$C$33,"",PARAMETROS!$C$9*(1+PARAMETROS!$C$17)^(B618-1))</f>
        <v/>
      </c>
      <c r="K618" s="20" t="str">
        <f aca="false">IF($A618&gt;PARAMETROS!$C$33,"",K617*(1+PARAMETROS!$C$36))</f>
        <v/>
      </c>
      <c r="L618" s="20" t="str">
        <f aca="false">IF($A618&gt;PARAMETROS!$C$33,"",L617*(1+PARAMETROS!$C$37)*(1+M618))</f>
        <v/>
      </c>
      <c r="M618" s="21" t="str">
        <f aca="false">IF($A618&gt;PARAMETROS!$C$33,"",IF(C618&lt;70,PARAMETROS!$C$40,IF(C618&lt;75,PARAMETROS!$C$41,IF(C618&lt;80,PARAMETROS!$C$42,IF(C618&lt;85,PARAMETROS!$C$43,IF(C618&lt;90,PARAMETROS!$C$44,PARAMETROS!$C$45))))))</f>
        <v/>
      </c>
      <c r="N618" s="20" t="str">
        <f aca="false">IF($A618&gt;PARAMETROS!$C$33,"",K618+L618)</f>
        <v/>
      </c>
      <c r="O618" s="20" t="str">
        <f aca="false">IF($A618&gt;PARAMETROS!$C$33,"",I618+J618-N618)</f>
        <v/>
      </c>
      <c r="P618" s="20" t="str">
        <f aca="false">IF($A618&gt;PARAMETROS!$C$33,"",MAX(E618+I618+J618-N618,0))</f>
        <v/>
      </c>
      <c r="Q618" s="22" t="str">
        <f aca="false">IF($A618&gt;PARAMETROS!$C$33,"",IF(P618&lt;=0,"AGOTADO","OK"))</f>
        <v/>
      </c>
    </row>
    <row r="619" customFormat="false" ht="15" hidden="false" customHeight="false" outlineLevel="0" collapsed="false">
      <c r="A619" s="19" t="n">
        <f aca="false">A618+1</f>
        <v>617</v>
      </c>
      <c r="B619" s="19" t="n">
        <f aca="false">IF($A619="","",ROUNDUP($A619/12,0))</f>
        <v>52</v>
      </c>
      <c r="C619" s="19" t="n">
        <f aca="false">IF($A619="","",PARAMETROS!$C$6+INT(($A619-1)/12))</f>
        <v>116</v>
      </c>
      <c r="D619" s="19" t="n">
        <f aca="false">IF($A619="","",MOD($A619-1,12)+1)</f>
        <v>5</v>
      </c>
      <c r="E619" s="20" t="str">
        <f aca="false">IF($A619&gt;PARAMETROS!$C$33,"",P618)</f>
        <v/>
      </c>
      <c r="F619" s="21" t="str">
        <f aca="false">IF($A619&gt;PARAMETROS!$C$33,"",PARAMETROS!$C$38)</f>
        <v/>
      </c>
      <c r="G619" s="20" t="str">
        <f aca="false">IF($A619&gt;PARAMETROS!$C$33,"",E619*F619)</f>
        <v/>
      </c>
      <c r="H619" s="20" t="str">
        <f aca="false">IF($A619&gt;PARAMETROS!$C$33,"",E619*PARAMETROS!$C$39)</f>
        <v/>
      </c>
      <c r="I619" s="20" t="str">
        <f aca="false">IF($A619&gt;PARAMETROS!$C$33,"",G619-H619)</f>
        <v/>
      </c>
      <c r="J619" s="20" t="str">
        <f aca="false">IF($A619&gt;PARAMETROS!$C$33,"",PARAMETROS!$C$9*(1+PARAMETROS!$C$17)^(B619-1))</f>
        <v/>
      </c>
      <c r="K619" s="20" t="str">
        <f aca="false">IF($A619&gt;PARAMETROS!$C$33,"",K618*(1+PARAMETROS!$C$36))</f>
        <v/>
      </c>
      <c r="L619" s="20" t="str">
        <f aca="false">IF($A619&gt;PARAMETROS!$C$33,"",L618*(1+PARAMETROS!$C$37)*(1+M619))</f>
        <v/>
      </c>
      <c r="M619" s="21" t="str">
        <f aca="false">IF($A619&gt;PARAMETROS!$C$33,"",IF(C619&lt;70,PARAMETROS!$C$40,IF(C619&lt;75,PARAMETROS!$C$41,IF(C619&lt;80,PARAMETROS!$C$42,IF(C619&lt;85,PARAMETROS!$C$43,IF(C619&lt;90,PARAMETROS!$C$44,PARAMETROS!$C$45))))))</f>
        <v/>
      </c>
      <c r="N619" s="20" t="str">
        <f aca="false">IF($A619&gt;PARAMETROS!$C$33,"",K619+L619)</f>
        <v/>
      </c>
      <c r="O619" s="20" t="str">
        <f aca="false">IF($A619&gt;PARAMETROS!$C$33,"",I619+J619-N619)</f>
        <v/>
      </c>
      <c r="P619" s="20" t="str">
        <f aca="false">IF($A619&gt;PARAMETROS!$C$33,"",MAX(E619+I619+J619-N619,0))</f>
        <v/>
      </c>
      <c r="Q619" s="22" t="str">
        <f aca="false">IF($A619&gt;PARAMETROS!$C$33,"",IF(P619&lt;=0,"AGOTADO","OK"))</f>
        <v/>
      </c>
    </row>
    <row r="620" customFormat="false" ht="15" hidden="false" customHeight="false" outlineLevel="0" collapsed="false">
      <c r="A620" s="19" t="n">
        <f aca="false">A619+1</f>
        <v>618</v>
      </c>
      <c r="B620" s="19" t="n">
        <f aca="false">IF($A620="","",ROUNDUP($A620/12,0))</f>
        <v>52</v>
      </c>
      <c r="C620" s="19" t="n">
        <f aca="false">IF($A620="","",PARAMETROS!$C$6+INT(($A620-1)/12))</f>
        <v>116</v>
      </c>
      <c r="D620" s="19" t="n">
        <f aca="false">IF($A620="","",MOD($A620-1,12)+1)</f>
        <v>6</v>
      </c>
      <c r="E620" s="20" t="str">
        <f aca="false">IF($A620&gt;PARAMETROS!$C$33,"",P619)</f>
        <v/>
      </c>
      <c r="F620" s="21" t="str">
        <f aca="false">IF($A620&gt;PARAMETROS!$C$33,"",PARAMETROS!$C$38)</f>
        <v/>
      </c>
      <c r="G620" s="20" t="str">
        <f aca="false">IF($A620&gt;PARAMETROS!$C$33,"",E620*F620)</f>
        <v/>
      </c>
      <c r="H620" s="20" t="str">
        <f aca="false">IF($A620&gt;PARAMETROS!$C$33,"",E620*PARAMETROS!$C$39)</f>
        <v/>
      </c>
      <c r="I620" s="20" t="str">
        <f aca="false">IF($A620&gt;PARAMETROS!$C$33,"",G620-H620)</f>
        <v/>
      </c>
      <c r="J620" s="20" t="str">
        <f aca="false">IF($A620&gt;PARAMETROS!$C$33,"",PARAMETROS!$C$9*(1+PARAMETROS!$C$17)^(B620-1))</f>
        <v/>
      </c>
      <c r="K620" s="20" t="str">
        <f aca="false">IF($A620&gt;PARAMETROS!$C$33,"",K619*(1+PARAMETROS!$C$36))</f>
        <v/>
      </c>
      <c r="L620" s="20" t="str">
        <f aca="false">IF($A620&gt;PARAMETROS!$C$33,"",L619*(1+PARAMETROS!$C$37)*(1+M620))</f>
        <v/>
      </c>
      <c r="M620" s="21" t="str">
        <f aca="false">IF($A620&gt;PARAMETROS!$C$33,"",IF(C620&lt;70,PARAMETROS!$C$40,IF(C620&lt;75,PARAMETROS!$C$41,IF(C620&lt;80,PARAMETROS!$C$42,IF(C620&lt;85,PARAMETROS!$C$43,IF(C620&lt;90,PARAMETROS!$C$44,PARAMETROS!$C$45))))))</f>
        <v/>
      </c>
      <c r="N620" s="20" t="str">
        <f aca="false">IF($A620&gt;PARAMETROS!$C$33,"",K620+L620)</f>
        <v/>
      </c>
      <c r="O620" s="20" t="str">
        <f aca="false">IF($A620&gt;PARAMETROS!$C$33,"",I620+J620-N620)</f>
        <v/>
      </c>
      <c r="P620" s="20" t="str">
        <f aca="false">IF($A620&gt;PARAMETROS!$C$33,"",MAX(E620+I620+J620-N620,0))</f>
        <v/>
      </c>
      <c r="Q620" s="22" t="str">
        <f aca="false">IF($A620&gt;PARAMETROS!$C$33,"",IF(P620&lt;=0,"AGOTADO","OK"))</f>
        <v/>
      </c>
    </row>
    <row r="621" customFormat="false" ht="15" hidden="false" customHeight="false" outlineLevel="0" collapsed="false">
      <c r="A621" s="19" t="n">
        <f aca="false">A620+1</f>
        <v>619</v>
      </c>
      <c r="B621" s="19" t="n">
        <f aca="false">IF($A621="","",ROUNDUP($A621/12,0))</f>
        <v>52</v>
      </c>
      <c r="C621" s="19" t="n">
        <f aca="false">IF($A621="","",PARAMETROS!$C$6+INT(($A621-1)/12))</f>
        <v>116</v>
      </c>
      <c r="D621" s="19" t="n">
        <f aca="false">IF($A621="","",MOD($A621-1,12)+1)</f>
        <v>7</v>
      </c>
      <c r="E621" s="20" t="str">
        <f aca="false">IF($A621&gt;PARAMETROS!$C$33,"",P620)</f>
        <v/>
      </c>
      <c r="F621" s="21" t="str">
        <f aca="false">IF($A621&gt;PARAMETROS!$C$33,"",PARAMETROS!$C$38)</f>
        <v/>
      </c>
      <c r="G621" s="20" t="str">
        <f aca="false">IF($A621&gt;PARAMETROS!$C$33,"",E621*F621)</f>
        <v/>
      </c>
      <c r="H621" s="20" t="str">
        <f aca="false">IF($A621&gt;PARAMETROS!$C$33,"",E621*PARAMETROS!$C$39)</f>
        <v/>
      </c>
      <c r="I621" s="20" t="str">
        <f aca="false">IF($A621&gt;PARAMETROS!$C$33,"",G621-H621)</f>
        <v/>
      </c>
      <c r="J621" s="20" t="str">
        <f aca="false">IF($A621&gt;PARAMETROS!$C$33,"",PARAMETROS!$C$9*(1+PARAMETROS!$C$17)^(B621-1))</f>
        <v/>
      </c>
      <c r="K621" s="20" t="str">
        <f aca="false">IF($A621&gt;PARAMETROS!$C$33,"",K620*(1+PARAMETROS!$C$36))</f>
        <v/>
      </c>
      <c r="L621" s="20" t="str">
        <f aca="false">IF($A621&gt;PARAMETROS!$C$33,"",L620*(1+PARAMETROS!$C$37)*(1+M621))</f>
        <v/>
      </c>
      <c r="M621" s="21" t="str">
        <f aca="false">IF($A621&gt;PARAMETROS!$C$33,"",IF(C621&lt;70,PARAMETROS!$C$40,IF(C621&lt;75,PARAMETROS!$C$41,IF(C621&lt;80,PARAMETROS!$C$42,IF(C621&lt;85,PARAMETROS!$C$43,IF(C621&lt;90,PARAMETROS!$C$44,PARAMETROS!$C$45))))))</f>
        <v/>
      </c>
      <c r="N621" s="20" t="str">
        <f aca="false">IF($A621&gt;PARAMETROS!$C$33,"",K621+L621)</f>
        <v/>
      </c>
      <c r="O621" s="20" t="str">
        <f aca="false">IF($A621&gt;PARAMETROS!$C$33,"",I621+J621-N621)</f>
        <v/>
      </c>
      <c r="P621" s="20" t="str">
        <f aca="false">IF($A621&gt;PARAMETROS!$C$33,"",MAX(E621+I621+J621-N621,0))</f>
        <v/>
      </c>
      <c r="Q621" s="22" t="str">
        <f aca="false">IF($A621&gt;PARAMETROS!$C$33,"",IF(P621&lt;=0,"AGOTADO","OK"))</f>
        <v/>
      </c>
    </row>
    <row r="622" customFormat="false" ht="15" hidden="false" customHeight="false" outlineLevel="0" collapsed="false">
      <c r="A622" s="19" t="n">
        <f aca="false">A621+1</f>
        <v>620</v>
      </c>
      <c r="B622" s="19" t="n">
        <f aca="false">IF($A622="","",ROUNDUP($A622/12,0))</f>
        <v>52</v>
      </c>
      <c r="C622" s="19" t="n">
        <f aca="false">IF($A622="","",PARAMETROS!$C$6+INT(($A622-1)/12))</f>
        <v>116</v>
      </c>
      <c r="D622" s="19" t="n">
        <f aca="false">IF($A622="","",MOD($A622-1,12)+1)</f>
        <v>8</v>
      </c>
      <c r="E622" s="20" t="str">
        <f aca="false">IF($A622&gt;PARAMETROS!$C$33,"",P621)</f>
        <v/>
      </c>
      <c r="F622" s="21" t="str">
        <f aca="false">IF($A622&gt;PARAMETROS!$C$33,"",PARAMETROS!$C$38)</f>
        <v/>
      </c>
      <c r="G622" s="20" t="str">
        <f aca="false">IF($A622&gt;PARAMETROS!$C$33,"",E622*F622)</f>
        <v/>
      </c>
      <c r="H622" s="20" t="str">
        <f aca="false">IF($A622&gt;PARAMETROS!$C$33,"",E622*PARAMETROS!$C$39)</f>
        <v/>
      </c>
      <c r="I622" s="20" t="str">
        <f aca="false">IF($A622&gt;PARAMETROS!$C$33,"",G622-H622)</f>
        <v/>
      </c>
      <c r="J622" s="20" t="str">
        <f aca="false">IF($A622&gt;PARAMETROS!$C$33,"",PARAMETROS!$C$9*(1+PARAMETROS!$C$17)^(B622-1))</f>
        <v/>
      </c>
      <c r="K622" s="20" t="str">
        <f aca="false">IF($A622&gt;PARAMETROS!$C$33,"",K621*(1+PARAMETROS!$C$36))</f>
        <v/>
      </c>
      <c r="L622" s="20" t="str">
        <f aca="false">IF($A622&gt;PARAMETROS!$C$33,"",L621*(1+PARAMETROS!$C$37)*(1+M622))</f>
        <v/>
      </c>
      <c r="M622" s="21" t="str">
        <f aca="false">IF($A622&gt;PARAMETROS!$C$33,"",IF(C622&lt;70,PARAMETROS!$C$40,IF(C622&lt;75,PARAMETROS!$C$41,IF(C622&lt;80,PARAMETROS!$C$42,IF(C622&lt;85,PARAMETROS!$C$43,IF(C622&lt;90,PARAMETROS!$C$44,PARAMETROS!$C$45))))))</f>
        <v/>
      </c>
      <c r="N622" s="20" t="str">
        <f aca="false">IF($A622&gt;PARAMETROS!$C$33,"",K622+L622)</f>
        <v/>
      </c>
      <c r="O622" s="20" t="str">
        <f aca="false">IF($A622&gt;PARAMETROS!$C$33,"",I622+J622-N622)</f>
        <v/>
      </c>
      <c r="P622" s="20" t="str">
        <f aca="false">IF($A622&gt;PARAMETROS!$C$33,"",MAX(E622+I622+J622-N622,0))</f>
        <v/>
      </c>
      <c r="Q622" s="22" t="str">
        <f aca="false">IF($A622&gt;PARAMETROS!$C$33,"",IF(P622&lt;=0,"AGOTADO","OK"))</f>
        <v/>
      </c>
    </row>
    <row r="623" customFormat="false" ht="15" hidden="false" customHeight="false" outlineLevel="0" collapsed="false">
      <c r="A623" s="19" t="n">
        <f aca="false">A622+1</f>
        <v>621</v>
      </c>
      <c r="B623" s="19" t="n">
        <f aca="false">IF($A623="","",ROUNDUP($A623/12,0))</f>
        <v>52</v>
      </c>
      <c r="C623" s="19" t="n">
        <f aca="false">IF($A623="","",PARAMETROS!$C$6+INT(($A623-1)/12))</f>
        <v>116</v>
      </c>
      <c r="D623" s="19" t="n">
        <f aca="false">IF($A623="","",MOD($A623-1,12)+1)</f>
        <v>9</v>
      </c>
      <c r="E623" s="20" t="str">
        <f aca="false">IF($A623&gt;PARAMETROS!$C$33,"",P622)</f>
        <v/>
      </c>
      <c r="F623" s="21" t="str">
        <f aca="false">IF($A623&gt;PARAMETROS!$C$33,"",PARAMETROS!$C$38)</f>
        <v/>
      </c>
      <c r="G623" s="20" t="str">
        <f aca="false">IF($A623&gt;PARAMETROS!$C$33,"",E623*F623)</f>
        <v/>
      </c>
      <c r="H623" s="20" t="str">
        <f aca="false">IF($A623&gt;PARAMETROS!$C$33,"",E623*PARAMETROS!$C$39)</f>
        <v/>
      </c>
      <c r="I623" s="20" t="str">
        <f aca="false">IF($A623&gt;PARAMETROS!$C$33,"",G623-H623)</f>
        <v/>
      </c>
      <c r="J623" s="20" t="str">
        <f aca="false">IF($A623&gt;PARAMETROS!$C$33,"",PARAMETROS!$C$9*(1+PARAMETROS!$C$17)^(B623-1))</f>
        <v/>
      </c>
      <c r="K623" s="20" t="str">
        <f aca="false">IF($A623&gt;PARAMETROS!$C$33,"",K622*(1+PARAMETROS!$C$36))</f>
        <v/>
      </c>
      <c r="L623" s="20" t="str">
        <f aca="false">IF($A623&gt;PARAMETROS!$C$33,"",L622*(1+PARAMETROS!$C$37)*(1+M623))</f>
        <v/>
      </c>
      <c r="M623" s="21" t="str">
        <f aca="false">IF($A623&gt;PARAMETROS!$C$33,"",IF(C623&lt;70,PARAMETROS!$C$40,IF(C623&lt;75,PARAMETROS!$C$41,IF(C623&lt;80,PARAMETROS!$C$42,IF(C623&lt;85,PARAMETROS!$C$43,IF(C623&lt;90,PARAMETROS!$C$44,PARAMETROS!$C$45))))))</f>
        <v/>
      </c>
      <c r="N623" s="20" t="str">
        <f aca="false">IF($A623&gt;PARAMETROS!$C$33,"",K623+L623)</f>
        <v/>
      </c>
      <c r="O623" s="20" t="str">
        <f aca="false">IF($A623&gt;PARAMETROS!$C$33,"",I623+J623-N623)</f>
        <v/>
      </c>
      <c r="P623" s="20" t="str">
        <f aca="false">IF($A623&gt;PARAMETROS!$C$33,"",MAX(E623+I623+J623-N623,0))</f>
        <v/>
      </c>
      <c r="Q623" s="22" t="str">
        <f aca="false">IF($A623&gt;PARAMETROS!$C$33,"",IF(P623&lt;=0,"AGOTADO","OK"))</f>
        <v/>
      </c>
    </row>
    <row r="624" customFormat="false" ht="15" hidden="false" customHeight="false" outlineLevel="0" collapsed="false">
      <c r="A624" s="19" t="n">
        <f aca="false">A623+1</f>
        <v>622</v>
      </c>
      <c r="B624" s="19" t="n">
        <f aca="false">IF($A624="","",ROUNDUP($A624/12,0))</f>
        <v>52</v>
      </c>
      <c r="C624" s="19" t="n">
        <f aca="false">IF($A624="","",PARAMETROS!$C$6+INT(($A624-1)/12))</f>
        <v>116</v>
      </c>
      <c r="D624" s="19" t="n">
        <f aca="false">IF($A624="","",MOD($A624-1,12)+1)</f>
        <v>10</v>
      </c>
      <c r="E624" s="20" t="str">
        <f aca="false">IF($A624&gt;PARAMETROS!$C$33,"",P623)</f>
        <v/>
      </c>
      <c r="F624" s="21" t="str">
        <f aca="false">IF($A624&gt;PARAMETROS!$C$33,"",PARAMETROS!$C$38)</f>
        <v/>
      </c>
      <c r="G624" s="20" t="str">
        <f aca="false">IF($A624&gt;PARAMETROS!$C$33,"",E624*F624)</f>
        <v/>
      </c>
      <c r="H624" s="20" t="str">
        <f aca="false">IF($A624&gt;PARAMETROS!$C$33,"",E624*PARAMETROS!$C$39)</f>
        <v/>
      </c>
      <c r="I624" s="20" t="str">
        <f aca="false">IF($A624&gt;PARAMETROS!$C$33,"",G624-H624)</f>
        <v/>
      </c>
      <c r="J624" s="20" t="str">
        <f aca="false">IF($A624&gt;PARAMETROS!$C$33,"",PARAMETROS!$C$9*(1+PARAMETROS!$C$17)^(B624-1))</f>
        <v/>
      </c>
      <c r="K624" s="20" t="str">
        <f aca="false">IF($A624&gt;PARAMETROS!$C$33,"",K623*(1+PARAMETROS!$C$36))</f>
        <v/>
      </c>
      <c r="L624" s="20" t="str">
        <f aca="false">IF($A624&gt;PARAMETROS!$C$33,"",L623*(1+PARAMETROS!$C$37)*(1+M624))</f>
        <v/>
      </c>
      <c r="M624" s="21" t="str">
        <f aca="false">IF($A624&gt;PARAMETROS!$C$33,"",IF(C624&lt;70,PARAMETROS!$C$40,IF(C624&lt;75,PARAMETROS!$C$41,IF(C624&lt;80,PARAMETROS!$C$42,IF(C624&lt;85,PARAMETROS!$C$43,IF(C624&lt;90,PARAMETROS!$C$44,PARAMETROS!$C$45))))))</f>
        <v/>
      </c>
      <c r="N624" s="20" t="str">
        <f aca="false">IF($A624&gt;PARAMETROS!$C$33,"",K624+L624)</f>
        <v/>
      </c>
      <c r="O624" s="20" t="str">
        <f aca="false">IF($A624&gt;PARAMETROS!$C$33,"",I624+J624-N624)</f>
        <v/>
      </c>
      <c r="P624" s="20" t="str">
        <f aca="false">IF($A624&gt;PARAMETROS!$C$33,"",MAX(E624+I624+J624-N624,0))</f>
        <v/>
      </c>
      <c r="Q624" s="22" t="str">
        <f aca="false">IF($A624&gt;PARAMETROS!$C$33,"",IF(P624&lt;=0,"AGOTADO","OK"))</f>
        <v/>
      </c>
    </row>
    <row r="625" customFormat="false" ht="15" hidden="false" customHeight="false" outlineLevel="0" collapsed="false">
      <c r="A625" s="19" t="n">
        <f aca="false">A624+1</f>
        <v>623</v>
      </c>
      <c r="B625" s="19" t="n">
        <f aca="false">IF($A625="","",ROUNDUP($A625/12,0))</f>
        <v>52</v>
      </c>
      <c r="C625" s="19" t="n">
        <f aca="false">IF($A625="","",PARAMETROS!$C$6+INT(($A625-1)/12))</f>
        <v>116</v>
      </c>
      <c r="D625" s="19" t="n">
        <f aca="false">IF($A625="","",MOD($A625-1,12)+1)</f>
        <v>11</v>
      </c>
      <c r="E625" s="20" t="str">
        <f aca="false">IF($A625&gt;PARAMETROS!$C$33,"",P624)</f>
        <v/>
      </c>
      <c r="F625" s="21" t="str">
        <f aca="false">IF($A625&gt;PARAMETROS!$C$33,"",PARAMETROS!$C$38)</f>
        <v/>
      </c>
      <c r="G625" s="20" t="str">
        <f aca="false">IF($A625&gt;PARAMETROS!$C$33,"",E625*F625)</f>
        <v/>
      </c>
      <c r="H625" s="20" t="str">
        <f aca="false">IF($A625&gt;PARAMETROS!$C$33,"",E625*PARAMETROS!$C$39)</f>
        <v/>
      </c>
      <c r="I625" s="20" t="str">
        <f aca="false">IF($A625&gt;PARAMETROS!$C$33,"",G625-H625)</f>
        <v/>
      </c>
      <c r="J625" s="20" t="str">
        <f aca="false">IF($A625&gt;PARAMETROS!$C$33,"",PARAMETROS!$C$9*(1+PARAMETROS!$C$17)^(B625-1))</f>
        <v/>
      </c>
      <c r="K625" s="20" t="str">
        <f aca="false">IF($A625&gt;PARAMETROS!$C$33,"",K624*(1+PARAMETROS!$C$36))</f>
        <v/>
      </c>
      <c r="L625" s="20" t="str">
        <f aca="false">IF($A625&gt;PARAMETROS!$C$33,"",L624*(1+PARAMETROS!$C$37)*(1+M625))</f>
        <v/>
      </c>
      <c r="M625" s="21" t="str">
        <f aca="false">IF($A625&gt;PARAMETROS!$C$33,"",IF(C625&lt;70,PARAMETROS!$C$40,IF(C625&lt;75,PARAMETROS!$C$41,IF(C625&lt;80,PARAMETROS!$C$42,IF(C625&lt;85,PARAMETROS!$C$43,IF(C625&lt;90,PARAMETROS!$C$44,PARAMETROS!$C$45))))))</f>
        <v/>
      </c>
      <c r="N625" s="20" t="str">
        <f aca="false">IF($A625&gt;PARAMETROS!$C$33,"",K625+L625)</f>
        <v/>
      </c>
      <c r="O625" s="20" t="str">
        <f aca="false">IF($A625&gt;PARAMETROS!$C$33,"",I625+J625-N625)</f>
        <v/>
      </c>
      <c r="P625" s="20" t="str">
        <f aca="false">IF($A625&gt;PARAMETROS!$C$33,"",MAX(E625+I625+J625-N625,0))</f>
        <v/>
      </c>
      <c r="Q625" s="22" t="str">
        <f aca="false">IF($A625&gt;PARAMETROS!$C$33,"",IF(P625&lt;=0,"AGOTADO","OK"))</f>
        <v/>
      </c>
    </row>
    <row r="626" customFormat="false" ht="15" hidden="false" customHeight="false" outlineLevel="0" collapsed="false">
      <c r="A626" s="19" t="n">
        <f aca="false">A625+1</f>
        <v>624</v>
      </c>
      <c r="B626" s="19" t="n">
        <f aca="false">IF($A626="","",ROUNDUP($A626/12,0))</f>
        <v>52</v>
      </c>
      <c r="C626" s="19" t="n">
        <f aca="false">IF($A626="","",PARAMETROS!$C$6+INT(($A626-1)/12))</f>
        <v>116</v>
      </c>
      <c r="D626" s="19" t="n">
        <f aca="false">IF($A626="","",MOD($A626-1,12)+1)</f>
        <v>12</v>
      </c>
      <c r="E626" s="20" t="str">
        <f aca="false">IF($A626&gt;PARAMETROS!$C$33,"",P625)</f>
        <v/>
      </c>
      <c r="F626" s="21" t="str">
        <f aca="false">IF($A626&gt;PARAMETROS!$C$33,"",PARAMETROS!$C$38)</f>
        <v/>
      </c>
      <c r="G626" s="20" t="str">
        <f aca="false">IF($A626&gt;PARAMETROS!$C$33,"",E626*F626)</f>
        <v/>
      </c>
      <c r="H626" s="20" t="str">
        <f aca="false">IF($A626&gt;PARAMETROS!$C$33,"",E626*PARAMETROS!$C$39)</f>
        <v/>
      </c>
      <c r="I626" s="20" t="str">
        <f aca="false">IF($A626&gt;PARAMETROS!$C$33,"",G626-H626)</f>
        <v/>
      </c>
      <c r="J626" s="20" t="str">
        <f aca="false">IF($A626&gt;PARAMETROS!$C$33,"",PARAMETROS!$C$9*(1+PARAMETROS!$C$17)^(B626-1))</f>
        <v/>
      </c>
      <c r="K626" s="20" t="str">
        <f aca="false">IF($A626&gt;PARAMETROS!$C$33,"",K625*(1+PARAMETROS!$C$36))</f>
        <v/>
      </c>
      <c r="L626" s="20" t="str">
        <f aca="false">IF($A626&gt;PARAMETROS!$C$33,"",L625*(1+PARAMETROS!$C$37)*(1+M626))</f>
        <v/>
      </c>
      <c r="M626" s="21" t="str">
        <f aca="false">IF($A626&gt;PARAMETROS!$C$33,"",IF(C626&lt;70,PARAMETROS!$C$40,IF(C626&lt;75,PARAMETROS!$C$41,IF(C626&lt;80,PARAMETROS!$C$42,IF(C626&lt;85,PARAMETROS!$C$43,IF(C626&lt;90,PARAMETROS!$C$44,PARAMETROS!$C$45))))))</f>
        <v/>
      </c>
      <c r="N626" s="20" t="str">
        <f aca="false">IF($A626&gt;PARAMETROS!$C$33,"",K626+L626)</f>
        <v/>
      </c>
      <c r="O626" s="20" t="str">
        <f aca="false">IF($A626&gt;PARAMETROS!$C$33,"",I626+J626-N626)</f>
        <v/>
      </c>
      <c r="P626" s="20" t="str">
        <f aca="false">IF($A626&gt;PARAMETROS!$C$33,"",MAX(E626+I626+J626-N626,0))</f>
        <v/>
      </c>
      <c r="Q626" s="22" t="str">
        <f aca="false">IF($A626&gt;PARAMETROS!$C$33,"",IF(P626&lt;=0,"AGOTADO","OK"))</f>
        <v/>
      </c>
    </row>
    <row r="627" customFormat="false" ht="15" hidden="false" customHeight="false" outlineLevel="0" collapsed="false">
      <c r="A627" s="15" t="n">
        <f aca="false">A626+1</f>
        <v>625</v>
      </c>
      <c r="B627" s="15" t="n">
        <f aca="false">IF($A627="","",ROUNDUP($A627/12,0))</f>
        <v>53</v>
      </c>
      <c r="C627" s="15" t="n">
        <f aca="false">IF($A627="","",PARAMETROS!$C$6+INT(($A627-1)/12))</f>
        <v>117</v>
      </c>
      <c r="D627" s="15" t="n">
        <f aca="false">IF($A627="","",MOD($A627-1,12)+1)</f>
        <v>1</v>
      </c>
      <c r="E627" s="16" t="str">
        <f aca="false">IF($A627&gt;PARAMETROS!$C$33,"",P626)</f>
        <v/>
      </c>
      <c r="F627" s="17" t="str">
        <f aca="false">IF($A627&gt;PARAMETROS!$C$33,"",PARAMETROS!$C$38)</f>
        <v/>
      </c>
      <c r="G627" s="16" t="str">
        <f aca="false">IF($A627&gt;PARAMETROS!$C$33,"",E627*F627)</f>
        <v/>
      </c>
      <c r="H627" s="16" t="str">
        <f aca="false">IF($A627&gt;PARAMETROS!$C$33,"",E627*PARAMETROS!$C$39)</f>
        <v/>
      </c>
      <c r="I627" s="16" t="str">
        <f aca="false">IF($A627&gt;PARAMETROS!$C$33,"",G627-H627)</f>
        <v/>
      </c>
      <c r="J627" s="16" t="str">
        <f aca="false">IF($A627&gt;PARAMETROS!$C$33,"",PARAMETROS!$C$9*(1+PARAMETROS!$C$17)^(B627-1))</f>
        <v/>
      </c>
      <c r="K627" s="16" t="str">
        <f aca="false">IF($A627&gt;PARAMETROS!$C$33,"",K626*(1+PARAMETROS!$C$36))</f>
        <v/>
      </c>
      <c r="L627" s="16" t="str">
        <f aca="false">IF($A627&gt;PARAMETROS!$C$33,"",L626*(1+PARAMETROS!$C$37)*(1+M627))</f>
        <v/>
      </c>
      <c r="M627" s="17" t="str">
        <f aca="false">IF($A627&gt;PARAMETROS!$C$33,"",IF(C627&lt;70,PARAMETROS!$C$40,IF(C627&lt;75,PARAMETROS!$C$41,IF(C627&lt;80,PARAMETROS!$C$42,IF(C627&lt;85,PARAMETROS!$C$43,IF(C627&lt;90,PARAMETROS!$C$44,PARAMETROS!$C$45))))))</f>
        <v/>
      </c>
      <c r="N627" s="16" t="str">
        <f aca="false">IF($A627&gt;PARAMETROS!$C$33,"",K627+L627)</f>
        <v/>
      </c>
      <c r="O627" s="16" t="str">
        <f aca="false">IF($A627&gt;PARAMETROS!$C$33,"",I627+J627-N627)</f>
        <v/>
      </c>
      <c r="P627" s="16" t="str">
        <f aca="false">IF($A627&gt;PARAMETROS!$C$33,"",MAX(E627+I627+J627-N627,0))</f>
        <v/>
      </c>
      <c r="Q627" s="18" t="str">
        <f aca="false">IF($A627&gt;PARAMETROS!$C$33,"",IF(P627&lt;=0,"AGOTADO","OK"))</f>
        <v/>
      </c>
    </row>
    <row r="628" customFormat="false" ht="15" hidden="false" customHeight="false" outlineLevel="0" collapsed="false">
      <c r="A628" s="15" t="n">
        <f aca="false">A627+1</f>
        <v>626</v>
      </c>
      <c r="B628" s="15" t="n">
        <f aca="false">IF($A628="","",ROUNDUP($A628/12,0))</f>
        <v>53</v>
      </c>
      <c r="C628" s="15" t="n">
        <f aca="false">IF($A628="","",PARAMETROS!$C$6+INT(($A628-1)/12))</f>
        <v>117</v>
      </c>
      <c r="D628" s="15" t="n">
        <f aca="false">IF($A628="","",MOD($A628-1,12)+1)</f>
        <v>2</v>
      </c>
      <c r="E628" s="16" t="str">
        <f aca="false">IF($A628&gt;PARAMETROS!$C$33,"",P627)</f>
        <v/>
      </c>
      <c r="F628" s="17" t="str">
        <f aca="false">IF($A628&gt;PARAMETROS!$C$33,"",PARAMETROS!$C$38)</f>
        <v/>
      </c>
      <c r="G628" s="16" t="str">
        <f aca="false">IF($A628&gt;PARAMETROS!$C$33,"",E628*F628)</f>
        <v/>
      </c>
      <c r="H628" s="16" t="str">
        <f aca="false">IF($A628&gt;PARAMETROS!$C$33,"",E628*PARAMETROS!$C$39)</f>
        <v/>
      </c>
      <c r="I628" s="16" t="str">
        <f aca="false">IF($A628&gt;PARAMETROS!$C$33,"",G628-H628)</f>
        <v/>
      </c>
      <c r="J628" s="16" t="str">
        <f aca="false">IF($A628&gt;PARAMETROS!$C$33,"",PARAMETROS!$C$9*(1+PARAMETROS!$C$17)^(B628-1))</f>
        <v/>
      </c>
      <c r="K628" s="16" t="str">
        <f aca="false">IF($A628&gt;PARAMETROS!$C$33,"",K627*(1+PARAMETROS!$C$36))</f>
        <v/>
      </c>
      <c r="L628" s="16" t="str">
        <f aca="false">IF($A628&gt;PARAMETROS!$C$33,"",L627*(1+PARAMETROS!$C$37)*(1+M628))</f>
        <v/>
      </c>
      <c r="M628" s="17" t="str">
        <f aca="false">IF($A628&gt;PARAMETROS!$C$33,"",IF(C628&lt;70,PARAMETROS!$C$40,IF(C628&lt;75,PARAMETROS!$C$41,IF(C628&lt;80,PARAMETROS!$C$42,IF(C628&lt;85,PARAMETROS!$C$43,IF(C628&lt;90,PARAMETROS!$C$44,PARAMETROS!$C$45))))))</f>
        <v/>
      </c>
      <c r="N628" s="16" t="str">
        <f aca="false">IF($A628&gt;PARAMETROS!$C$33,"",K628+L628)</f>
        <v/>
      </c>
      <c r="O628" s="16" t="str">
        <f aca="false">IF($A628&gt;PARAMETROS!$C$33,"",I628+J628-N628)</f>
        <v/>
      </c>
      <c r="P628" s="16" t="str">
        <f aca="false">IF($A628&gt;PARAMETROS!$C$33,"",MAX(E628+I628+J628-N628,0))</f>
        <v/>
      </c>
      <c r="Q628" s="18" t="str">
        <f aca="false">IF($A628&gt;PARAMETROS!$C$33,"",IF(P628&lt;=0,"AGOTADO","OK"))</f>
        <v/>
      </c>
    </row>
    <row r="629" customFormat="false" ht="15" hidden="false" customHeight="false" outlineLevel="0" collapsed="false">
      <c r="A629" s="15" t="n">
        <f aca="false">A628+1</f>
        <v>627</v>
      </c>
      <c r="B629" s="15" t="n">
        <f aca="false">IF($A629="","",ROUNDUP($A629/12,0))</f>
        <v>53</v>
      </c>
      <c r="C629" s="15" t="n">
        <f aca="false">IF($A629="","",PARAMETROS!$C$6+INT(($A629-1)/12))</f>
        <v>117</v>
      </c>
      <c r="D629" s="15" t="n">
        <f aca="false">IF($A629="","",MOD($A629-1,12)+1)</f>
        <v>3</v>
      </c>
      <c r="E629" s="16" t="str">
        <f aca="false">IF($A629&gt;PARAMETROS!$C$33,"",P628)</f>
        <v/>
      </c>
      <c r="F629" s="17" t="str">
        <f aca="false">IF($A629&gt;PARAMETROS!$C$33,"",PARAMETROS!$C$38)</f>
        <v/>
      </c>
      <c r="G629" s="16" t="str">
        <f aca="false">IF($A629&gt;PARAMETROS!$C$33,"",E629*F629)</f>
        <v/>
      </c>
      <c r="H629" s="16" t="str">
        <f aca="false">IF($A629&gt;PARAMETROS!$C$33,"",E629*PARAMETROS!$C$39)</f>
        <v/>
      </c>
      <c r="I629" s="16" t="str">
        <f aca="false">IF($A629&gt;PARAMETROS!$C$33,"",G629-H629)</f>
        <v/>
      </c>
      <c r="J629" s="16" t="str">
        <f aca="false">IF($A629&gt;PARAMETROS!$C$33,"",PARAMETROS!$C$9*(1+PARAMETROS!$C$17)^(B629-1))</f>
        <v/>
      </c>
      <c r="K629" s="16" t="str">
        <f aca="false">IF($A629&gt;PARAMETROS!$C$33,"",K628*(1+PARAMETROS!$C$36))</f>
        <v/>
      </c>
      <c r="L629" s="16" t="str">
        <f aca="false">IF($A629&gt;PARAMETROS!$C$33,"",L628*(1+PARAMETROS!$C$37)*(1+M629))</f>
        <v/>
      </c>
      <c r="M629" s="17" t="str">
        <f aca="false">IF($A629&gt;PARAMETROS!$C$33,"",IF(C629&lt;70,PARAMETROS!$C$40,IF(C629&lt;75,PARAMETROS!$C$41,IF(C629&lt;80,PARAMETROS!$C$42,IF(C629&lt;85,PARAMETROS!$C$43,IF(C629&lt;90,PARAMETROS!$C$44,PARAMETROS!$C$45))))))</f>
        <v/>
      </c>
      <c r="N629" s="16" t="str">
        <f aca="false">IF($A629&gt;PARAMETROS!$C$33,"",K629+L629)</f>
        <v/>
      </c>
      <c r="O629" s="16" t="str">
        <f aca="false">IF($A629&gt;PARAMETROS!$C$33,"",I629+J629-N629)</f>
        <v/>
      </c>
      <c r="P629" s="16" t="str">
        <f aca="false">IF($A629&gt;PARAMETROS!$C$33,"",MAX(E629+I629+J629-N629,0))</f>
        <v/>
      </c>
      <c r="Q629" s="18" t="str">
        <f aca="false">IF($A629&gt;PARAMETROS!$C$33,"",IF(P629&lt;=0,"AGOTADO","OK"))</f>
        <v/>
      </c>
    </row>
    <row r="630" customFormat="false" ht="15" hidden="false" customHeight="false" outlineLevel="0" collapsed="false">
      <c r="A630" s="15" t="n">
        <f aca="false">A629+1</f>
        <v>628</v>
      </c>
      <c r="B630" s="15" t="n">
        <f aca="false">IF($A630="","",ROUNDUP($A630/12,0))</f>
        <v>53</v>
      </c>
      <c r="C630" s="15" t="n">
        <f aca="false">IF($A630="","",PARAMETROS!$C$6+INT(($A630-1)/12))</f>
        <v>117</v>
      </c>
      <c r="D630" s="15" t="n">
        <f aca="false">IF($A630="","",MOD($A630-1,12)+1)</f>
        <v>4</v>
      </c>
      <c r="E630" s="16" t="str">
        <f aca="false">IF($A630&gt;PARAMETROS!$C$33,"",P629)</f>
        <v/>
      </c>
      <c r="F630" s="17" t="str">
        <f aca="false">IF($A630&gt;PARAMETROS!$C$33,"",PARAMETROS!$C$38)</f>
        <v/>
      </c>
      <c r="G630" s="16" t="str">
        <f aca="false">IF($A630&gt;PARAMETROS!$C$33,"",E630*F630)</f>
        <v/>
      </c>
      <c r="H630" s="16" t="str">
        <f aca="false">IF($A630&gt;PARAMETROS!$C$33,"",E630*PARAMETROS!$C$39)</f>
        <v/>
      </c>
      <c r="I630" s="16" t="str">
        <f aca="false">IF($A630&gt;PARAMETROS!$C$33,"",G630-H630)</f>
        <v/>
      </c>
      <c r="J630" s="16" t="str">
        <f aca="false">IF($A630&gt;PARAMETROS!$C$33,"",PARAMETROS!$C$9*(1+PARAMETROS!$C$17)^(B630-1))</f>
        <v/>
      </c>
      <c r="K630" s="16" t="str">
        <f aca="false">IF($A630&gt;PARAMETROS!$C$33,"",K629*(1+PARAMETROS!$C$36))</f>
        <v/>
      </c>
      <c r="L630" s="16" t="str">
        <f aca="false">IF($A630&gt;PARAMETROS!$C$33,"",L629*(1+PARAMETROS!$C$37)*(1+M630))</f>
        <v/>
      </c>
      <c r="M630" s="17" t="str">
        <f aca="false">IF($A630&gt;PARAMETROS!$C$33,"",IF(C630&lt;70,PARAMETROS!$C$40,IF(C630&lt;75,PARAMETROS!$C$41,IF(C630&lt;80,PARAMETROS!$C$42,IF(C630&lt;85,PARAMETROS!$C$43,IF(C630&lt;90,PARAMETROS!$C$44,PARAMETROS!$C$45))))))</f>
        <v/>
      </c>
      <c r="N630" s="16" t="str">
        <f aca="false">IF($A630&gt;PARAMETROS!$C$33,"",K630+L630)</f>
        <v/>
      </c>
      <c r="O630" s="16" t="str">
        <f aca="false">IF($A630&gt;PARAMETROS!$C$33,"",I630+J630-N630)</f>
        <v/>
      </c>
      <c r="P630" s="16" t="str">
        <f aca="false">IF($A630&gt;PARAMETROS!$C$33,"",MAX(E630+I630+J630-N630,0))</f>
        <v/>
      </c>
      <c r="Q630" s="18" t="str">
        <f aca="false">IF($A630&gt;PARAMETROS!$C$33,"",IF(P630&lt;=0,"AGOTADO","OK"))</f>
        <v/>
      </c>
    </row>
    <row r="631" customFormat="false" ht="15" hidden="false" customHeight="false" outlineLevel="0" collapsed="false">
      <c r="A631" s="15" t="n">
        <f aca="false">A630+1</f>
        <v>629</v>
      </c>
      <c r="B631" s="15" t="n">
        <f aca="false">IF($A631="","",ROUNDUP($A631/12,0))</f>
        <v>53</v>
      </c>
      <c r="C631" s="15" t="n">
        <f aca="false">IF($A631="","",PARAMETROS!$C$6+INT(($A631-1)/12))</f>
        <v>117</v>
      </c>
      <c r="D631" s="15" t="n">
        <f aca="false">IF($A631="","",MOD($A631-1,12)+1)</f>
        <v>5</v>
      </c>
      <c r="E631" s="16" t="str">
        <f aca="false">IF($A631&gt;PARAMETROS!$C$33,"",P630)</f>
        <v/>
      </c>
      <c r="F631" s="17" t="str">
        <f aca="false">IF($A631&gt;PARAMETROS!$C$33,"",PARAMETROS!$C$38)</f>
        <v/>
      </c>
      <c r="G631" s="16" t="str">
        <f aca="false">IF($A631&gt;PARAMETROS!$C$33,"",E631*F631)</f>
        <v/>
      </c>
      <c r="H631" s="16" t="str">
        <f aca="false">IF($A631&gt;PARAMETROS!$C$33,"",E631*PARAMETROS!$C$39)</f>
        <v/>
      </c>
      <c r="I631" s="16" t="str">
        <f aca="false">IF($A631&gt;PARAMETROS!$C$33,"",G631-H631)</f>
        <v/>
      </c>
      <c r="J631" s="16" t="str">
        <f aca="false">IF($A631&gt;PARAMETROS!$C$33,"",PARAMETROS!$C$9*(1+PARAMETROS!$C$17)^(B631-1))</f>
        <v/>
      </c>
      <c r="K631" s="16" t="str">
        <f aca="false">IF($A631&gt;PARAMETROS!$C$33,"",K630*(1+PARAMETROS!$C$36))</f>
        <v/>
      </c>
      <c r="L631" s="16" t="str">
        <f aca="false">IF($A631&gt;PARAMETROS!$C$33,"",L630*(1+PARAMETROS!$C$37)*(1+M631))</f>
        <v/>
      </c>
      <c r="M631" s="17" t="str">
        <f aca="false">IF($A631&gt;PARAMETROS!$C$33,"",IF(C631&lt;70,PARAMETROS!$C$40,IF(C631&lt;75,PARAMETROS!$C$41,IF(C631&lt;80,PARAMETROS!$C$42,IF(C631&lt;85,PARAMETROS!$C$43,IF(C631&lt;90,PARAMETROS!$C$44,PARAMETROS!$C$45))))))</f>
        <v/>
      </c>
      <c r="N631" s="16" t="str">
        <f aca="false">IF($A631&gt;PARAMETROS!$C$33,"",K631+L631)</f>
        <v/>
      </c>
      <c r="O631" s="16" t="str">
        <f aca="false">IF($A631&gt;PARAMETROS!$C$33,"",I631+J631-N631)</f>
        <v/>
      </c>
      <c r="P631" s="16" t="str">
        <f aca="false">IF($A631&gt;PARAMETROS!$C$33,"",MAX(E631+I631+J631-N631,0))</f>
        <v/>
      </c>
      <c r="Q631" s="18" t="str">
        <f aca="false">IF($A631&gt;PARAMETROS!$C$33,"",IF(P631&lt;=0,"AGOTADO","OK"))</f>
        <v/>
      </c>
    </row>
    <row r="632" customFormat="false" ht="15" hidden="false" customHeight="false" outlineLevel="0" collapsed="false">
      <c r="A632" s="15" t="n">
        <f aca="false">A631+1</f>
        <v>630</v>
      </c>
      <c r="B632" s="15" t="n">
        <f aca="false">IF($A632="","",ROUNDUP($A632/12,0))</f>
        <v>53</v>
      </c>
      <c r="C632" s="15" t="n">
        <f aca="false">IF($A632="","",PARAMETROS!$C$6+INT(($A632-1)/12))</f>
        <v>117</v>
      </c>
      <c r="D632" s="15" t="n">
        <f aca="false">IF($A632="","",MOD($A632-1,12)+1)</f>
        <v>6</v>
      </c>
      <c r="E632" s="16" t="str">
        <f aca="false">IF($A632&gt;PARAMETROS!$C$33,"",P631)</f>
        <v/>
      </c>
      <c r="F632" s="17" t="str">
        <f aca="false">IF($A632&gt;PARAMETROS!$C$33,"",PARAMETROS!$C$38)</f>
        <v/>
      </c>
      <c r="G632" s="16" t="str">
        <f aca="false">IF($A632&gt;PARAMETROS!$C$33,"",E632*F632)</f>
        <v/>
      </c>
      <c r="H632" s="16" t="str">
        <f aca="false">IF($A632&gt;PARAMETROS!$C$33,"",E632*PARAMETROS!$C$39)</f>
        <v/>
      </c>
      <c r="I632" s="16" t="str">
        <f aca="false">IF($A632&gt;PARAMETROS!$C$33,"",G632-H632)</f>
        <v/>
      </c>
      <c r="J632" s="16" t="str">
        <f aca="false">IF($A632&gt;PARAMETROS!$C$33,"",PARAMETROS!$C$9*(1+PARAMETROS!$C$17)^(B632-1))</f>
        <v/>
      </c>
      <c r="K632" s="16" t="str">
        <f aca="false">IF($A632&gt;PARAMETROS!$C$33,"",K631*(1+PARAMETROS!$C$36))</f>
        <v/>
      </c>
      <c r="L632" s="16" t="str">
        <f aca="false">IF($A632&gt;PARAMETROS!$C$33,"",L631*(1+PARAMETROS!$C$37)*(1+M632))</f>
        <v/>
      </c>
      <c r="M632" s="17" t="str">
        <f aca="false">IF($A632&gt;PARAMETROS!$C$33,"",IF(C632&lt;70,PARAMETROS!$C$40,IF(C632&lt;75,PARAMETROS!$C$41,IF(C632&lt;80,PARAMETROS!$C$42,IF(C632&lt;85,PARAMETROS!$C$43,IF(C632&lt;90,PARAMETROS!$C$44,PARAMETROS!$C$45))))))</f>
        <v/>
      </c>
      <c r="N632" s="16" t="str">
        <f aca="false">IF($A632&gt;PARAMETROS!$C$33,"",K632+L632)</f>
        <v/>
      </c>
      <c r="O632" s="16" t="str">
        <f aca="false">IF($A632&gt;PARAMETROS!$C$33,"",I632+J632-N632)</f>
        <v/>
      </c>
      <c r="P632" s="16" t="str">
        <f aca="false">IF($A632&gt;PARAMETROS!$C$33,"",MAX(E632+I632+J632-N632,0))</f>
        <v/>
      </c>
      <c r="Q632" s="18" t="str">
        <f aca="false">IF($A632&gt;PARAMETROS!$C$33,"",IF(P632&lt;=0,"AGOTADO","OK"))</f>
        <v/>
      </c>
    </row>
    <row r="633" customFormat="false" ht="15" hidden="false" customHeight="false" outlineLevel="0" collapsed="false">
      <c r="A633" s="15" t="n">
        <f aca="false">A632+1</f>
        <v>631</v>
      </c>
      <c r="B633" s="15" t="n">
        <f aca="false">IF($A633="","",ROUNDUP($A633/12,0))</f>
        <v>53</v>
      </c>
      <c r="C633" s="15" t="n">
        <f aca="false">IF($A633="","",PARAMETROS!$C$6+INT(($A633-1)/12))</f>
        <v>117</v>
      </c>
      <c r="D633" s="15" t="n">
        <f aca="false">IF($A633="","",MOD($A633-1,12)+1)</f>
        <v>7</v>
      </c>
      <c r="E633" s="16" t="str">
        <f aca="false">IF($A633&gt;PARAMETROS!$C$33,"",P632)</f>
        <v/>
      </c>
      <c r="F633" s="17" t="str">
        <f aca="false">IF($A633&gt;PARAMETROS!$C$33,"",PARAMETROS!$C$38)</f>
        <v/>
      </c>
      <c r="G633" s="16" t="str">
        <f aca="false">IF($A633&gt;PARAMETROS!$C$33,"",E633*F633)</f>
        <v/>
      </c>
      <c r="H633" s="16" t="str">
        <f aca="false">IF($A633&gt;PARAMETROS!$C$33,"",E633*PARAMETROS!$C$39)</f>
        <v/>
      </c>
      <c r="I633" s="16" t="str">
        <f aca="false">IF($A633&gt;PARAMETROS!$C$33,"",G633-H633)</f>
        <v/>
      </c>
      <c r="J633" s="16" t="str">
        <f aca="false">IF($A633&gt;PARAMETROS!$C$33,"",PARAMETROS!$C$9*(1+PARAMETROS!$C$17)^(B633-1))</f>
        <v/>
      </c>
      <c r="K633" s="16" t="str">
        <f aca="false">IF($A633&gt;PARAMETROS!$C$33,"",K632*(1+PARAMETROS!$C$36))</f>
        <v/>
      </c>
      <c r="L633" s="16" t="str">
        <f aca="false">IF($A633&gt;PARAMETROS!$C$33,"",L632*(1+PARAMETROS!$C$37)*(1+M633))</f>
        <v/>
      </c>
      <c r="M633" s="17" t="str">
        <f aca="false">IF($A633&gt;PARAMETROS!$C$33,"",IF(C633&lt;70,PARAMETROS!$C$40,IF(C633&lt;75,PARAMETROS!$C$41,IF(C633&lt;80,PARAMETROS!$C$42,IF(C633&lt;85,PARAMETROS!$C$43,IF(C633&lt;90,PARAMETROS!$C$44,PARAMETROS!$C$45))))))</f>
        <v/>
      </c>
      <c r="N633" s="16" t="str">
        <f aca="false">IF($A633&gt;PARAMETROS!$C$33,"",K633+L633)</f>
        <v/>
      </c>
      <c r="O633" s="16" t="str">
        <f aca="false">IF($A633&gt;PARAMETROS!$C$33,"",I633+J633-N633)</f>
        <v/>
      </c>
      <c r="P633" s="16" t="str">
        <f aca="false">IF($A633&gt;PARAMETROS!$C$33,"",MAX(E633+I633+J633-N633,0))</f>
        <v/>
      </c>
      <c r="Q633" s="18" t="str">
        <f aca="false">IF($A633&gt;PARAMETROS!$C$33,"",IF(P633&lt;=0,"AGOTADO","OK"))</f>
        <v/>
      </c>
    </row>
    <row r="634" customFormat="false" ht="15" hidden="false" customHeight="false" outlineLevel="0" collapsed="false">
      <c r="A634" s="15" t="n">
        <f aca="false">A633+1</f>
        <v>632</v>
      </c>
      <c r="B634" s="15" t="n">
        <f aca="false">IF($A634="","",ROUNDUP($A634/12,0))</f>
        <v>53</v>
      </c>
      <c r="C634" s="15" t="n">
        <f aca="false">IF($A634="","",PARAMETROS!$C$6+INT(($A634-1)/12))</f>
        <v>117</v>
      </c>
      <c r="D634" s="15" t="n">
        <f aca="false">IF($A634="","",MOD($A634-1,12)+1)</f>
        <v>8</v>
      </c>
      <c r="E634" s="16" t="str">
        <f aca="false">IF($A634&gt;PARAMETROS!$C$33,"",P633)</f>
        <v/>
      </c>
      <c r="F634" s="17" t="str">
        <f aca="false">IF($A634&gt;PARAMETROS!$C$33,"",PARAMETROS!$C$38)</f>
        <v/>
      </c>
      <c r="G634" s="16" t="str">
        <f aca="false">IF($A634&gt;PARAMETROS!$C$33,"",E634*F634)</f>
        <v/>
      </c>
      <c r="H634" s="16" t="str">
        <f aca="false">IF($A634&gt;PARAMETROS!$C$33,"",E634*PARAMETROS!$C$39)</f>
        <v/>
      </c>
      <c r="I634" s="16" t="str">
        <f aca="false">IF($A634&gt;PARAMETROS!$C$33,"",G634-H634)</f>
        <v/>
      </c>
      <c r="J634" s="16" t="str">
        <f aca="false">IF($A634&gt;PARAMETROS!$C$33,"",PARAMETROS!$C$9*(1+PARAMETROS!$C$17)^(B634-1))</f>
        <v/>
      </c>
      <c r="K634" s="16" t="str">
        <f aca="false">IF($A634&gt;PARAMETROS!$C$33,"",K633*(1+PARAMETROS!$C$36))</f>
        <v/>
      </c>
      <c r="L634" s="16" t="str">
        <f aca="false">IF($A634&gt;PARAMETROS!$C$33,"",L633*(1+PARAMETROS!$C$37)*(1+M634))</f>
        <v/>
      </c>
      <c r="M634" s="17" t="str">
        <f aca="false">IF($A634&gt;PARAMETROS!$C$33,"",IF(C634&lt;70,PARAMETROS!$C$40,IF(C634&lt;75,PARAMETROS!$C$41,IF(C634&lt;80,PARAMETROS!$C$42,IF(C634&lt;85,PARAMETROS!$C$43,IF(C634&lt;90,PARAMETROS!$C$44,PARAMETROS!$C$45))))))</f>
        <v/>
      </c>
      <c r="N634" s="16" t="str">
        <f aca="false">IF($A634&gt;PARAMETROS!$C$33,"",K634+L634)</f>
        <v/>
      </c>
      <c r="O634" s="16" t="str">
        <f aca="false">IF($A634&gt;PARAMETROS!$C$33,"",I634+J634-N634)</f>
        <v/>
      </c>
      <c r="P634" s="16" t="str">
        <f aca="false">IF($A634&gt;PARAMETROS!$C$33,"",MAX(E634+I634+J634-N634,0))</f>
        <v/>
      </c>
      <c r="Q634" s="18" t="str">
        <f aca="false">IF($A634&gt;PARAMETROS!$C$33,"",IF(P634&lt;=0,"AGOTADO","OK"))</f>
        <v/>
      </c>
    </row>
    <row r="635" customFormat="false" ht="15" hidden="false" customHeight="false" outlineLevel="0" collapsed="false">
      <c r="A635" s="15" t="n">
        <f aca="false">A634+1</f>
        <v>633</v>
      </c>
      <c r="B635" s="15" t="n">
        <f aca="false">IF($A635="","",ROUNDUP($A635/12,0))</f>
        <v>53</v>
      </c>
      <c r="C635" s="15" t="n">
        <f aca="false">IF($A635="","",PARAMETROS!$C$6+INT(($A635-1)/12))</f>
        <v>117</v>
      </c>
      <c r="D635" s="15" t="n">
        <f aca="false">IF($A635="","",MOD($A635-1,12)+1)</f>
        <v>9</v>
      </c>
      <c r="E635" s="16" t="str">
        <f aca="false">IF($A635&gt;PARAMETROS!$C$33,"",P634)</f>
        <v/>
      </c>
      <c r="F635" s="17" t="str">
        <f aca="false">IF($A635&gt;PARAMETROS!$C$33,"",PARAMETROS!$C$38)</f>
        <v/>
      </c>
      <c r="G635" s="16" t="str">
        <f aca="false">IF($A635&gt;PARAMETROS!$C$33,"",E635*F635)</f>
        <v/>
      </c>
      <c r="H635" s="16" t="str">
        <f aca="false">IF($A635&gt;PARAMETROS!$C$33,"",E635*PARAMETROS!$C$39)</f>
        <v/>
      </c>
      <c r="I635" s="16" t="str">
        <f aca="false">IF($A635&gt;PARAMETROS!$C$33,"",G635-H635)</f>
        <v/>
      </c>
      <c r="J635" s="16" t="str">
        <f aca="false">IF($A635&gt;PARAMETROS!$C$33,"",PARAMETROS!$C$9*(1+PARAMETROS!$C$17)^(B635-1))</f>
        <v/>
      </c>
      <c r="K635" s="16" t="str">
        <f aca="false">IF($A635&gt;PARAMETROS!$C$33,"",K634*(1+PARAMETROS!$C$36))</f>
        <v/>
      </c>
      <c r="L635" s="16" t="str">
        <f aca="false">IF($A635&gt;PARAMETROS!$C$33,"",L634*(1+PARAMETROS!$C$37)*(1+M635))</f>
        <v/>
      </c>
      <c r="M635" s="17" t="str">
        <f aca="false">IF($A635&gt;PARAMETROS!$C$33,"",IF(C635&lt;70,PARAMETROS!$C$40,IF(C635&lt;75,PARAMETROS!$C$41,IF(C635&lt;80,PARAMETROS!$C$42,IF(C635&lt;85,PARAMETROS!$C$43,IF(C635&lt;90,PARAMETROS!$C$44,PARAMETROS!$C$45))))))</f>
        <v/>
      </c>
      <c r="N635" s="16" t="str">
        <f aca="false">IF($A635&gt;PARAMETROS!$C$33,"",K635+L635)</f>
        <v/>
      </c>
      <c r="O635" s="16" t="str">
        <f aca="false">IF($A635&gt;PARAMETROS!$C$33,"",I635+J635-N635)</f>
        <v/>
      </c>
      <c r="P635" s="16" t="str">
        <f aca="false">IF($A635&gt;PARAMETROS!$C$33,"",MAX(E635+I635+J635-N635,0))</f>
        <v/>
      </c>
      <c r="Q635" s="18" t="str">
        <f aca="false">IF($A635&gt;PARAMETROS!$C$33,"",IF(P635&lt;=0,"AGOTADO","OK"))</f>
        <v/>
      </c>
    </row>
    <row r="636" customFormat="false" ht="15" hidden="false" customHeight="false" outlineLevel="0" collapsed="false">
      <c r="A636" s="15" t="n">
        <f aca="false">A635+1</f>
        <v>634</v>
      </c>
      <c r="B636" s="15" t="n">
        <f aca="false">IF($A636="","",ROUNDUP($A636/12,0))</f>
        <v>53</v>
      </c>
      <c r="C636" s="15" t="n">
        <f aca="false">IF($A636="","",PARAMETROS!$C$6+INT(($A636-1)/12))</f>
        <v>117</v>
      </c>
      <c r="D636" s="15" t="n">
        <f aca="false">IF($A636="","",MOD($A636-1,12)+1)</f>
        <v>10</v>
      </c>
      <c r="E636" s="16" t="str">
        <f aca="false">IF($A636&gt;PARAMETROS!$C$33,"",P635)</f>
        <v/>
      </c>
      <c r="F636" s="17" t="str">
        <f aca="false">IF($A636&gt;PARAMETROS!$C$33,"",PARAMETROS!$C$38)</f>
        <v/>
      </c>
      <c r="G636" s="16" t="str">
        <f aca="false">IF($A636&gt;PARAMETROS!$C$33,"",E636*F636)</f>
        <v/>
      </c>
      <c r="H636" s="16" t="str">
        <f aca="false">IF($A636&gt;PARAMETROS!$C$33,"",E636*PARAMETROS!$C$39)</f>
        <v/>
      </c>
      <c r="I636" s="16" t="str">
        <f aca="false">IF($A636&gt;PARAMETROS!$C$33,"",G636-H636)</f>
        <v/>
      </c>
      <c r="J636" s="16" t="str">
        <f aca="false">IF($A636&gt;PARAMETROS!$C$33,"",PARAMETROS!$C$9*(1+PARAMETROS!$C$17)^(B636-1))</f>
        <v/>
      </c>
      <c r="K636" s="16" t="str">
        <f aca="false">IF($A636&gt;PARAMETROS!$C$33,"",K635*(1+PARAMETROS!$C$36))</f>
        <v/>
      </c>
      <c r="L636" s="16" t="str">
        <f aca="false">IF($A636&gt;PARAMETROS!$C$33,"",L635*(1+PARAMETROS!$C$37)*(1+M636))</f>
        <v/>
      </c>
      <c r="M636" s="17" t="str">
        <f aca="false">IF($A636&gt;PARAMETROS!$C$33,"",IF(C636&lt;70,PARAMETROS!$C$40,IF(C636&lt;75,PARAMETROS!$C$41,IF(C636&lt;80,PARAMETROS!$C$42,IF(C636&lt;85,PARAMETROS!$C$43,IF(C636&lt;90,PARAMETROS!$C$44,PARAMETROS!$C$45))))))</f>
        <v/>
      </c>
      <c r="N636" s="16" t="str">
        <f aca="false">IF($A636&gt;PARAMETROS!$C$33,"",K636+L636)</f>
        <v/>
      </c>
      <c r="O636" s="16" t="str">
        <f aca="false">IF($A636&gt;PARAMETROS!$C$33,"",I636+J636-N636)</f>
        <v/>
      </c>
      <c r="P636" s="16" t="str">
        <f aca="false">IF($A636&gt;PARAMETROS!$C$33,"",MAX(E636+I636+J636-N636,0))</f>
        <v/>
      </c>
      <c r="Q636" s="18" t="str">
        <f aca="false">IF($A636&gt;PARAMETROS!$C$33,"",IF(P636&lt;=0,"AGOTADO","OK"))</f>
        <v/>
      </c>
    </row>
    <row r="637" customFormat="false" ht="15" hidden="false" customHeight="false" outlineLevel="0" collapsed="false">
      <c r="A637" s="15" t="n">
        <f aca="false">A636+1</f>
        <v>635</v>
      </c>
      <c r="B637" s="15" t="n">
        <f aca="false">IF($A637="","",ROUNDUP($A637/12,0))</f>
        <v>53</v>
      </c>
      <c r="C637" s="15" t="n">
        <f aca="false">IF($A637="","",PARAMETROS!$C$6+INT(($A637-1)/12))</f>
        <v>117</v>
      </c>
      <c r="D637" s="15" t="n">
        <f aca="false">IF($A637="","",MOD($A637-1,12)+1)</f>
        <v>11</v>
      </c>
      <c r="E637" s="16" t="str">
        <f aca="false">IF($A637&gt;PARAMETROS!$C$33,"",P636)</f>
        <v/>
      </c>
      <c r="F637" s="17" t="str">
        <f aca="false">IF($A637&gt;PARAMETROS!$C$33,"",PARAMETROS!$C$38)</f>
        <v/>
      </c>
      <c r="G637" s="16" t="str">
        <f aca="false">IF($A637&gt;PARAMETROS!$C$33,"",E637*F637)</f>
        <v/>
      </c>
      <c r="H637" s="16" t="str">
        <f aca="false">IF($A637&gt;PARAMETROS!$C$33,"",E637*PARAMETROS!$C$39)</f>
        <v/>
      </c>
      <c r="I637" s="16" t="str">
        <f aca="false">IF($A637&gt;PARAMETROS!$C$33,"",G637-H637)</f>
        <v/>
      </c>
      <c r="J637" s="16" t="str">
        <f aca="false">IF($A637&gt;PARAMETROS!$C$33,"",PARAMETROS!$C$9*(1+PARAMETROS!$C$17)^(B637-1))</f>
        <v/>
      </c>
      <c r="K637" s="16" t="str">
        <f aca="false">IF($A637&gt;PARAMETROS!$C$33,"",K636*(1+PARAMETROS!$C$36))</f>
        <v/>
      </c>
      <c r="L637" s="16" t="str">
        <f aca="false">IF($A637&gt;PARAMETROS!$C$33,"",L636*(1+PARAMETROS!$C$37)*(1+M637))</f>
        <v/>
      </c>
      <c r="M637" s="17" t="str">
        <f aca="false">IF($A637&gt;PARAMETROS!$C$33,"",IF(C637&lt;70,PARAMETROS!$C$40,IF(C637&lt;75,PARAMETROS!$C$41,IF(C637&lt;80,PARAMETROS!$C$42,IF(C637&lt;85,PARAMETROS!$C$43,IF(C637&lt;90,PARAMETROS!$C$44,PARAMETROS!$C$45))))))</f>
        <v/>
      </c>
      <c r="N637" s="16" t="str">
        <f aca="false">IF($A637&gt;PARAMETROS!$C$33,"",K637+L637)</f>
        <v/>
      </c>
      <c r="O637" s="16" t="str">
        <f aca="false">IF($A637&gt;PARAMETROS!$C$33,"",I637+J637-N637)</f>
        <v/>
      </c>
      <c r="P637" s="16" t="str">
        <f aca="false">IF($A637&gt;PARAMETROS!$C$33,"",MAX(E637+I637+J637-N637,0))</f>
        <v/>
      </c>
      <c r="Q637" s="18" t="str">
        <f aca="false">IF($A637&gt;PARAMETROS!$C$33,"",IF(P637&lt;=0,"AGOTADO","OK"))</f>
        <v/>
      </c>
    </row>
    <row r="638" customFormat="false" ht="15" hidden="false" customHeight="false" outlineLevel="0" collapsed="false">
      <c r="A638" s="15" t="n">
        <f aca="false">A637+1</f>
        <v>636</v>
      </c>
      <c r="B638" s="15" t="n">
        <f aca="false">IF($A638="","",ROUNDUP($A638/12,0))</f>
        <v>53</v>
      </c>
      <c r="C638" s="15" t="n">
        <f aca="false">IF($A638="","",PARAMETROS!$C$6+INT(($A638-1)/12))</f>
        <v>117</v>
      </c>
      <c r="D638" s="15" t="n">
        <f aca="false">IF($A638="","",MOD($A638-1,12)+1)</f>
        <v>12</v>
      </c>
      <c r="E638" s="16" t="str">
        <f aca="false">IF($A638&gt;PARAMETROS!$C$33,"",P637)</f>
        <v/>
      </c>
      <c r="F638" s="17" t="str">
        <f aca="false">IF($A638&gt;PARAMETROS!$C$33,"",PARAMETROS!$C$38)</f>
        <v/>
      </c>
      <c r="G638" s="16" t="str">
        <f aca="false">IF($A638&gt;PARAMETROS!$C$33,"",E638*F638)</f>
        <v/>
      </c>
      <c r="H638" s="16" t="str">
        <f aca="false">IF($A638&gt;PARAMETROS!$C$33,"",E638*PARAMETROS!$C$39)</f>
        <v/>
      </c>
      <c r="I638" s="16" t="str">
        <f aca="false">IF($A638&gt;PARAMETROS!$C$33,"",G638-H638)</f>
        <v/>
      </c>
      <c r="J638" s="16" t="str">
        <f aca="false">IF($A638&gt;PARAMETROS!$C$33,"",PARAMETROS!$C$9*(1+PARAMETROS!$C$17)^(B638-1))</f>
        <v/>
      </c>
      <c r="K638" s="16" t="str">
        <f aca="false">IF($A638&gt;PARAMETROS!$C$33,"",K637*(1+PARAMETROS!$C$36))</f>
        <v/>
      </c>
      <c r="L638" s="16" t="str">
        <f aca="false">IF($A638&gt;PARAMETROS!$C$33,"",L637*(1+PARAMETROS!$C$37)*(1+M638))</f>
        <v/>
      </c>
      <c r="M638" s="17" t="str">
        <f aca="false">IF($A638&gt;PARAMETROS!$C$33,"",IF(C638&lt;70,PARAMETROS!$C$40,IF(C638&lt;75,PARAMETROS!$C$41,IF(C638&lt;80,PARAMETROS!$C$42,IF(C638&lt;85,PARAMETROS!$C$43,IF(C638&lt;90,PARAMETROS!$C$44,PARAMETROS!$C$45))))))</f>
        <v/>
      </c>
      <c r="N638" s="16" t="str">
        <f aca="false">IF($A638&gt;PARAMETROS!$C$33,"",K638+L638)</f>
        <v/>
      </c>
      <c r="O638" s="16" t="str">
        <f aca="false">IF($A638&gt;PARAMETROS!$C$33,"",I638+J638-N638)</f>
        <v/>
      </c>
      <c r="P638" s="16" t="str">
        <f aca="false">IF($A638&gt;PARAMETROS!$C$33,"",MAX(E638+I638+J638-N638,0))</f>
        <v/>
      </c>
      <c r="Q638" s="18" t="str">
        <f aca="false">IF($A638&gt;PARAMETROS!$C$33,"",IF(P638&lt;=0,"AGOTADO","OK"))</f>
        <v/>
      </c>
    </row>
    <row r="639" customFormat="false" ht="15" hidden="false" customHeight="false" outlineLevel="0" collapsed="false">
      <c r="A639" s="19" t="n">
        <f aca="false">A638+1</f>
        <v>637</v>
      </c>
      <c r="B639" s="19" t="n">
        <f aca="false">IF($A639="","",ROUNDUP($A639/12,0))</f>
        <v>54</v>
      </c>
      <c r="C639" s="19" t="n">
        <f aca="false">IF($A639="","",PARAMETROS!$C$6+INT(($A639-1)/12))</f>
        <v>118</v>
      </c>
      <c r="D639" s="19" t="n">
        <f aca="false">IF($A639="","",MOD($A639-1,12)+1)</f>
        <v>1</v>
      </c>
      <c r="E639" s="20" t="str">
        <f aca="false">IF($A639&gt;PARAMETROS!$C$33,"",P638)</f>
        <v/>
      </c>
      <c r="F639" s="21" t="str">
        <f aca="false">IF($A639&gt;PARAMETROS!$C$33,"",PARAMETROS!$C$38)</f>
        <v/>
      </c>
      <c r="G639" s="20" t="str">
        <f aca="false">IF($A639&gt;PARAMETROS!$C$33,"",E639*F639)</f>
        <v/>
      </c>
      <c r="H639" s="20" t="str">
        <f aca="false">IF($A639&gt;PARAMETROS!$C$33,"",E639*PARAMETROS!$C$39)</f>
        <v/>
      </c>
      <c r="I639" s="20" t="str">
        <f aca="false">IF($A639&gt;PARAMETROS!$C$33,"",G639-H639)</f>
        <v/>
      </c>
      <c r="J639" s="20" t="str">
        <f aca="false">IF($A639&gt;PARAMETROS!$C$33,"",PARAMETROS!$C$9*(1+PARAMETROS!$C$17)^(B639-1))</f>
        <v/>
      </c>
      <c r="K639" s="20" t="str">
        <f aca="false">IF($A639&gt;PARAMETROS!$C$33,"",K638*(1+PARAMETROS!$C$36))</f>
        <v/>
      </c>
      <c r="L639" s="20" t="str">
        <f aca="false">IF($A639&gt;PARAMETROS!$C$33,"",L638*(1+PARAMETROS!$C$37)*(1+M639))</f>
        <v/>
      </c>
      <c r="M639" s="21" t="str">
        <f aca="false">IF($A639&gt;PARAMETROS!$C$33,"",IF(C639&lt;70,PARAMETROS!$C$40,IF(C639&lt;75,PARAMETROS!$C$41,IF(C639&lt;80,PARAMETROS!$C$42,IF(C639&lt;85,PARAMETROS!$C$43,IF(C639&lt;90,PARAMETROS!$C$44,PARAMETROS!$C$45))))))</f>
        <v/>
      </c>
      <c r="N639" s="20" t="str">
        <f aca="false">IF($A639&gt;PARAMETROS!$C$33,"",K639+L639)</f>
        <v/>
      </c>
      <c r="O639" s="20" t="str">
        <f aca="false">IF($A639&gt;PARAMETROS!$C$33,"",I639+J639-N639)</f>
        <v/>
      </c>
      <c r="P639" s="20" t="str">
        <f aca="false">IF($A639&gt;PARAMETROS!$C$33,"",MAX(E639+I639+J639-N639,0))</f>
        <v/>
      </c>
      <c r="Q639" s="22" t="str">
        <f aca="false">IF($A639&gt;PARAMETROS!$C$33,"",IF(P639&lt;=0,"AGOTADO","OK"))</f>
        <v/>
      </c>
    </row>
    <row r="640" customFormat="false" ht="15" hidden="false" customHeight="false" outlineLevel="0" collapsed="false">
      <c r="A640" s="19" t="n">
        <f aca="false">A639+1</f>
        <v>638</v>
      </c>
      <c r="B640" s="19" t="n">
        <f aca="false">IF($A640="","",ROUNDUP($A640/12,0))</f>
        <v>54</v>
      </c>
      <c r="C640" s="19" t="n">
        <f aca="false">IF($A640="","",PARAMETROS!$C$6+INT(($A640-1)/12))</f>
        <v>118</v>
      </c>
      <c r="D640" s="19" t="n">
        <f aca="false">IF($A640="","",MOD($A640-1,12)+1)</f>
        <v>2</v>
      </c>
      <c r="E640" s="20" t="str">
        <f aca="false">IF($A640&gt;PARAMETROS!$C$33,"",P639)</f>
        <v/>
      </c>
      <c r="F640" s="21" t="str">
        <f aca="false">IF($A640&gt;PARAMETROS!$C$33,"",PARAMETROS!$C$38)</f>
        <v/>
      </c>
      <c r="G640" s="20" t="str">
        <f aca="false">IF($A640&gt;PARAMETROS!$C$33,"",E640*F640)</f>
        <v/>
      </c>
      <c r="H640" s="20" t="str">
        <f aca="false">IF($A640&gt;PARAMETROS!$C$33,"",E640*PARAMETROS!$C$39)</f>
        <v/>
      </c>
      <c r="I640" s="20" t="str">
        <f aca="false">IF($A640&gt;PARAMETROS!$C$33,"",G640-H640)</f>
        <v/>
      </c>
      <c r="J640" s="20" t="str">
        <f aca="false">IF($A640&gt;PARAMETROS!$C$33,"",PARAMETROS!$C$9*(1+PARAMETROS!$C$17)^(B640-1))</f>
        <v/>
      </c>
      <c r="K640" s="20" t="str">
        <f aca="false">IF($A640&gt;PARAMETROS!$C$33,"",K639*(1+PARAMETROS!$C$36))</f>
        <v/>
      </c>
      <c r="L640" s="20" t="str">
        <f aca="false">IF($A640&gt;PARAMETROS!$C$33,"",L639*(1+PARAMETROS!$C$37)*(1+M640))</f>
        <v/>
      </c>
      <c r="M640" s="21" t="str">
        <f aca="false">IF($A640&gt;PARAMETROS!$C$33,"",IF(C640&lt;70,PARAMETROS!$C$40,IF(C640&lt;75,PARAMETROS!$C$41,IF(C640&lt;80,PARAMETROS!$C$42,IF(C640&lt;85,PARAMETROS!$C$43,IF(C640&lt;90,PARAMETROS!$C$44,PARAMETROS!$C$45))))))</f>
        <v/>
      </c>
      <c r="N640" s="20" t="str">
        <f aca="false">IF($A640&gt;PARAMETROS!$C$33,"",K640+L640)</f>
        <v/>
      </c>
      <c r="O640" s="20" t="str">
        <f aca="false">IF($A640&gt;PARAMETROS!$C$33,"",I640+J640-N640)</f>
        <v/>
      </c>
      <c r="P640" s="20" t="str">
        <f aca="false">IF($A640&gt;PARAMETROS!$C$33,"",MAX(E640+I640+J640-N640,0))</f>
        <v/>
      </c>
      <c r="Q640" s="22" t="str">
        <f aca="false">IF($A640&gt;PARAMETROS!$C$33,"",IF(P640&lt;=0,"AGOTADO","OK"))</f>
        <v/>
      </c>
    </row>
    <row r="641" customFormat="false" ht="15" hidden="false" customHeight="false" outlineLevel="0" collapsed="false">
      <c r="A641" s="19" t="n">
        <f aca="false">A640+1</f>
        <v>639</v>
      </c>
      <c r="B641" s="19" t="n">
        <f aca="false">IF($A641="","",ROUNDUP($A641/12,0))</f>
        <v>54</v>
      </c>
      <c r="C641" s="19" t="n">
        <f aca="false">IF($A641="","",PARAMETROS!$C$6+INT(($A641-1)/12))</f>
        <v>118</v>
      </c>
      <c r="D641" s="19" t="n">
        <f aca="false">IF($A641="","",MOD($A641-1,12)+1)</f>
        <v>3</v>
      </c>
      <c r="E641" s="20" t="str">
        <f aca="false">IF($A641&gt;PARAMETROS!$C$33,"",P640)</f>
        <v/>
      </c>
      <c r="F641" s="21" t="str">
        <f aca="false">IF($A641&gt;PARAMETROS!$C$33,"",PARAMETROS!$C$38)</f>
        <v/>
      </c>
      <c r="G641" s="20" t="str">
        <f aca="false">IF($A641&gt;PARAMETROS!$C$33,"",E641*F641)</f>
        <v/>
      </c>
      <c r="H641" s="20" t="str">
        <f aca="false">IF($A641&gt;PARAMETROS!$C$33,"",E641*PARAMETROS!$C$39)</f>
        <v/>
      </c>
      <c r="I641" s="20" t="str">
        <f aca="false">IF($A641&gt;PARAMETROS!$C$33,"",G641-H641)</f>
        <v/>
      </c>
      <c r="J641" s="20" t="str">
        <f aca="false">IF($A641&gt;PARAMETROS!$C$33,"",PARAMETROS!$C$9*(1+PARAMETROS!$C$17)^(B641-1))</f>
        <v/>
      </c>
      <c r="K641" s="20" t="str">
        <f aca="false">IF($A641&gt;PARAMETROS!$C$33,"",K640*(1+PARAMETROS!$C$36))</f>
        <v/>
      </c>
      <c r="L641" s="20" t="str">
        <f aca="false">IF($A641&gt;PARAMETROS!$C$33,"",L640*(1+PARAMETROS!$C$37)*(1+M641))</f>
        <v/>
      </c>
      <c r="M641" s="21" t="str">
        <f aca="false">IF($A641&gt;PARAMETROS!$C$33,"",IF(C641&lt;70,PARAMETROS!$C$40,IF(C641&lt;75,PARAMETROS!$C$41,IF(C641&lt;80,PARAMETROS!$C$42,IF(C641&lt;85,PARAMETROS!$C$43,IF(C641&lt;90,PARAMETROS!$C$44,PARAMETROS!$C$45))))))</f>
        <v/>
      </c>
      <c r="N641" s="20" t="str">
        <f aca="false">IF($A641&gt;PARAMETROS!$C$33,"",K641+L641)</f>
        <v/>
      </c>
      <c r="O641" s="20" t="str">
        <f aca="false">IF($A641&gt;PARAMETROS!$C$33,"",I641+J641-N641)</f>
        <v/>
      </c>
      <c r="P641" s="20" t="str">
        <f aca="false">IF($A641&gt;PARAMETROS!$C$33,"",MAX(E641+I641+J641-N641,0))</f>
        <v/>
      </c>
      <c r="Q641" s="22" t="str">
        <f aca="false">IF($A641&gt;PARAMETROS!$C$33,"",IF(P641&lt;=0,"AGOTADO","OK"))</f>
        <v/>
      </c>
    </row>
    <row r="642" customFormat="false" ht="15" hidden="false" customHeight="false" outlineLevel="0" collapsed="false">
      <c r="A642" s="19" t="n">
        <f aca="false">A641+1</f>
        <v>640</v>
      </c>
      <c r="B642" s="19" t="n">
        <f aca="false">IF($A642="","",ROUNDUP($A642/12,0))</f>
        <v>54</v>
      </c>
      <c r="C642" s="19" t="n">
        <f aca="false">IF($A642="","",PARAMETROS!$C$6+INT(($A642-1)/12))</f>
        <v>118</v>
      </c>
      <c r="D642" s="19" t="n">
        <f aca="false">IF($A642="","",MOD($A642-1,12)+1)</f>
        <v>4</v>
      </c>
      <c r="E642" s="20" t="str">
        <f aca="false">IF($A642&gt;PARAMETROS!$C$33,"",P641)</f>
        <v/>
      </c>
      <c r="F642" s="21" t="str">
        <f aca="false">IF($A642&gt;PARAMETROS!$C$33,"",PARAMETROS!$C$38)</f>
        <v/>
      </c>
      <c r="G642" s="20" t="str">
        <f aca="false">IF($A642&gt;PARAMETROS!$C$33,"",E642*F642)</f>
        <v/>
      </c>
      <c r="H642" s="20" t="str">
        <f aca="false">IF($A642&gt;PARAMETROS!$C$33,"",E642*PARAMETROS!$C$39)</f>
        <v/>
      </c>
      <c r="I642" s="20" t="str">
        <f aca="false">IF($A642&gt;PARAMETROS!$C$33,"",G642-H642)</f>
        <v/>
      </c>
      <c r="J642" s="20" t="str">
        <f aca="false">IF($A642&gt;PARAMETROS!$C$33,"",PARAMETROS!$C$9*(1+PARAMETROS!$C$17)^(B642-1))</f>
        <v/>
      </c>
      <c r="K642" s="20" t="str">
        <f aca="false">IF($A642&gt;PARAMETROS!$C$33,"",K641*(1+PARAMETROS!$C$36))</f>
        <v/>
      </c>
      <c r="L642" s="20" t="str">
        <f aca="false">IF($A642&gt;PARAMETROS!$C$33,"",L641*(1+PARAMETROS!$C$37)*(1+M642))</f>
        <v/>
      </c>
      <c r="M642" s="21" t="str">
        <f aca="false">IF($A642&gt;PARAMETROS!$C$33,"",IF(C642&lt;70,PARAMETROS!$C$40,IF(C642&lt;75,PARAMETROS!$C$41,IF(C642&lt;80,PARAMETROS!$C$42,IF(C642&lt;85,PARAMETROS!$C$43,IF(C642&lt;90,PARAMETROS!$C$44,PARAMETROS!$C$45))))))</f>
        <v/>
      </c>
      <c r="N642" s="20" t="str">
        <f aca="false">IF($A642&gt;PARAMETROS!$C$33,"",K642+L642)</f>
        <v/>
      </c>
      <c r="O642" s="20" t="str">
        <f aca="false">IF($A642&gt;PARAMETROS!$C$33,"",I642+J642-N642)</f>
        <v/>
      </c>
      <c r="P642" s="20" t="str">
        <f aca="false">IF($A642&gt;PARAMETROS!$C$33,"",MAX(E642+I642+J642-N642,0))</f>
        <v/>
      </c>
      <c r="Q642" s="22" t="str">
        <f aca="false">IF($A642&gt;PARAMETROS!$C$33,"",IF(P642&lt;=0,"AGOTADO","OK"))</f>
        <v/>
      </c>
    </row>
    <row r="643" customFormat="false" ht="15" hidden="false" customHeight="false" outlineLevel="0" collapsed="false">
      <c r="A643" s="19" t="n">
        <f aca="false">A642+1</f>
        <v>641</v>
      </c>
      <c r="B643" s="19" t="n">
        <f aca="false">IF($A643="","",ROUNDUP($A643/12,0))</f>
        <v>54</v>
      </c>
      <c r="C643" s="19" t="n">
        <f aca="false">IF($A643="","",PARAMETROS!$C$6+INT(($A643-1)/12))</f>
        <v>118</v>
      </c>
      <c r="D643" s="19" t="n">
        <f aca="false">IF($A643="","",MOD($A643-1,12)+1)</f>
        <v>5</v>
      </c>
      <c r="E643" s="20" t="str">
        <f aca="false">IF($A643&gt;PARAMETROS!$C$33,"",P642)</f>
        <v/>
      </c>
      <c r="F643" s="21" t="str">
        <f aca="false">IF($A643&gt;PARAMETROS!$C$33,"",PARAMETROS!$C$38)</f>
        <v/>
      </c>
      <c r="G643" s="20" t="str">
        <f aca="false">IF($A643&gt;PARAMETROS!$C$33,"",E643*F643)</f>
        <v/>
      </c>
      <c r="H643" s="20" t="str">
        <f aca="false">IF($A643&gt;PARAMETROS!$C$33,"",E643*PARAMETROS!$C$39)</f>
        <v/>
      </c>
      <c r="I643" s="20" t="str">
        <f aca="false">IF($A643&gt;PARAMETROS!$C$33,"",G643-H643)</f>
        <v/>
      </c>
      <c r="J643" s="20" t="str">
        <f aca="false">IF($A643&gt;PARAMETROS!$C$33,"",PARAMETROS!$C$9*(1+PARAMETROS!$C$17)^(B643-1))</f>
        <v/>
      </c>
      <c r="K643" s="20" t="str">
        <f aca="false">IF($A643&gt;PARAMETROS!$C$33,"",K642*(1+PARAMETROS!$C$36))</f>
        <v/>
      </c>
      <c r="L643" s="20" t="str">
        <f aca="false">IF($A643&gt;PARAMETROS!$C$33,"",L642*(1+PARAMETROS!$C$37)*(1+M643))</f>
        <v/>
      </c>
      <c r="M643" s="21" t="str">
        <f aca="false">IF($A643&gt;PARAMETROS!$C$33,"",IF(C643&lt;70,PARAMETROS!$C$40,IF(C643&lt;75,PARAMETROS!$C$41,IF(C643&lt;80,PARAMETROS!$C$42,IF(C643&lt;85,PARAMETROS!$C$43,IF(C643&lt;90,PARAMETROS!$C$44,PARAMETROS!$C$45))))))</f>
        <v/>
      </c>
      <c r="N643" s="20" t="str">
        <f aca="false">IF($A643&gt;PARAMETROS!$C$33,"",K643+L643)</f>
        <v/>
      </c>
      <c r="O643" s="20" t="str">
        <f aca="false">IF($A643&gt;PARAMETROS!$C$33,"",I643+J643-N643)</f>
        <v/>
      </c>
      <c r="P643" s="20" t="str">
        <f aca="false">IF($A643&gt;PARAMETROS!$C$33,"",MAX(E643+I643+J643-N643,0))</f>
        <v/>
      </c>
      <c r="Q643" s="22" t="str">
        <f aca="false">IF($A643&gt;PARAMETROS!$C$33,"",IF(P643&lt;=0,"AGOTADO","OK"))</f>
        <v/>
      </c>
    </row>
    <row r="644" customFormat="false" ht="15" hidden="false" customHeight="false" outlineLevel="0" collapsed="false">
      <c r="A644" s="19" t="n">
        <f aca="false">A643+1</f>
        <v>642</v>
      </c>
      <c r="B644" s="19" t="n">
        <f aca="false">IF($A644="","",ROUNDUP($A644/12,0))</f>
        <v>54</v>
      </c>
      <c r="C644" s="19" t="n">
        <f aca="false">IF($A644="","",PARAMETROS!$C$6+INT(($A644-1)/12))</f>
        <v>118</v>
      </c>
      <c r="D644" s="19" t="n">
        <f aca="false">IF($A644="","",MOD($A644-1,12)+1)</f>
        <v>6</v>
      </c>
      <c r="E644" s="20" t="str">
        <f aca="false">IF($A644&gt;PARAMETROS!$C$33,"",P643)</f>
        <v/>
      </c>
      <c r="F644" s="21" t="str">
        <f aca="false">IF($A644&gt;PARAMETROS!$C$33,"",PARAMETROS!$C$38)</f>
        <v/>
      </c>
      <c r="G644" s="20" t="str">
        <f aca="false">IF($A644&gt;PARAMETROS!$C$33,"",E644*F644)</f>
        <v/>
      </c>
      <c r="H644" s="20" t="str">
        <f aca="false">IF($A644&gt;PARAMETROS!$C$33,"",E644*PARAMETROS!$C$39)</f>
        <v/>
      </c>
      <c r="I644" s="20" t="str">
        <f aca="false">IF($A644&gt;PARAMETROS!$C$33,"",G644-H644)</f>
        <v/>
      </c>
      <c r="J644" s="20" t="str">
        <f aca="false">IF($A644&gt;PARAMETROS!$C$33,"",PARAMETROS!$C$9*(1+PARAMETROS!$C$17)^(B644-1))</f>
        <v/>
      </c>
      <c r="K644" s="20" t="str">
        <f aca="false">IF($A644&gt;PARAMETROS!$C$33,"",K643*(1+PARAMETROS!$C$36))</f>
        <v/>
      </c>
      <c r="L644" s="20" t="str">
        <f aca="false">IF($A644&gt;PARAMETROS!$C$33,"",L643*(1+PARAMETROS!$C$37)*(1+M644))</f>
        <v/>
      </c>
      <c r="M644" s="21" t="str">
        <f aca="false">IF($A644&gt;PARAMETROS!$C$33,"",IF(C644&lt;70,PARAMETROS!$C$40,IF(C644&lt;75,PARAMETROS!$C$41,IF(C644&lt;80,PARAMETROS!$C$42,IF(C644&lt;85,PARAMETROS!$C$43,IF(C644&lt;90,PARAMETROS!$C$44,PARAMETROS!$C$45))))))</f>
        <v/>
      </c>
      <c r="N644" s="20" t="str">
        <f aca="false">IF($A644&gt;PARAMETROS!$C$33,"",K644+L644)</f>
        <v/>
      </c>
      <c r="O644" s="20" t="str">
        <f aca="false">IF($A644&gt;PARAMETROS!$C$33,"",I644+J644-N644)</f>
        <v/>
      </c>
      <c r="P644" s="20" t="str">
        <f aca="false">IF($A644&gt;PARAMETROS!$C$33,"",MAX(E644+I644+J644-N644,0))</f>
        <v/>
      </c>
      <c r="Q644" s="22" t="str">
        <f aca="false">IF($A644&gt;PARAMETROS!$C$33,"",IF(P644&lt;=0,"AGOTADO","OK"))</f>
        <v/>
      </c>
    </row>
    <row r="645" customFormat="false" ht="15" hidden="false" customHeight="false" outlineLevel="0" collapsed="false">
      <c r="A645" s="19" t="n">
        <f aca="false">A644+1</f>
        <v>643</v>
      </c>
      <c r="B645" s="19" t="n">
        <f aca="false">IF($A645="","",ROUNDUP($A645/12,0))</f>
        <v>54</v>
      </c>
      <c r="C645" s="19" t="n">
        <f aca="false">IF($A645="","",PARAMETROS!$C$6+INT(($A645-1)/12))</f>
        <v>118</v>
      </c>
      <c r="D645" s="19" t="n">
        <f aca="false">IF($A645="","",MOD($A645-1,12)+1)</f>
        <v>7</v>
      </c>
      <c r="E645" s="20" t="str">
        <f aca="false">IF($A645&gt;PARAMETROS!$C$33,"",P644)</f>
        <v/>
      </c>
      <c r="F645" s="21" t="str">
        <f aca="false">IF($A645&gt;PARAMETROS!$C$33,"",PARAMETROS!$C$38)</f>
        <v/>
      </c>
      <c r="G645" s="20" t="str">
        <f aca="false">IF($A645&gt;PARAMETROS!$C$33,"",E645*F645)</f>
        <v/>
      </c>
      <c r="H645" s="20" t="str">
        <f aca="false">IF($A645&gt;PARAMETROS!$C$33,"",E645*PARAMETROS!$C$39)</f>
        <v/>
      </c>
      <c r="I645" s="20" t="str">
        <f aca="false">IF($A645&gt;PARAMETROS!$C$33,"",G645-H645)</f>
        <v/>
      </c>
      <c r="J645" s="20" t="str">
        <f aca="false">IF($A645&gt;PARAMETROS!$C$33,"",PARAMETROS!$C$9*(1+PARAMETROS!$C$17)^(B645-1))</f>
        <v/>
      </c>
      <c r="K645" s="20" t="str">
        <f aca="false">IF($A645&gt;PARAMETROS!$C$33,"",K644*(1+PARAMETROS!$C$36))</f>
        <v/>
      </c>
      <c r="L645" s="20" t="str">
        <f aca="false">IF($A645&gt;PARAMETROS!$C$33,"",L644*(1+PARAMETROS!$C$37)*(1+M645))</f>
        <v/>
      </c>
      <c r="M645" s="21" t="str">
        <f aca="false">IF($A645&gt;PARAMETROS!$C$33,"",IF(C645&lt;70,PARAMETROS!$C$40,IF(C645&lt;75,PARAMETROS!$C$41,IF(C645&lt;80,PARAMETROS!$C$42,IF(C645&lt;85,PARAMETROS!$C$43,IF(C645&lt;90,PARAMETROS!$C$44,PARAMETROS!$C$45))))))</f>
        <v/>
      </c>
      <c r="N645" s="20" t="str">
        <f aca="false">IF($A645&gt;PARAMETROS!$C$33,"",K645+L645)</f>
        <v/>
      </c>
      <c r="O645" s="20" t="str">
        <f aca="false">IF($A645&gt;PARAMETROS!$C$33,"",I645+J645-N645)</f>
        <v/>
      </c>
      <c r="P645" s="20" t="str">
        <f aca="false">IF($A645&gt;PARAMETROS!$C$33,"",MAX(E645+I645+J645-N645,0))</f>
        <v/>
      </c>
      <c r="Q645" s="22" t="str">
        <f aca="false">IF($A645&gt;PARAMETROS!$C$33,"",IF(P645&lt;=0,"AGOTADO","OK"))</f>
        <v/>
      </c>
    </row>
    <row r="646" customFormat="false" ht="15" hidden="false" customHeight="false" outlineLevel="0" collapsed="false">
      <c r="A646" s="19" t="n">
        <f aca="false">A645+1</f>
        <v>644</v>
      </c>
      <c r="B646" s="19" t="n">
        <f aca="false">IF($A646="","",ROUNDUP($A646/12,0))</f>
        <v>54</v>
      </c>
      <c r="C646" s="19" t="n">
        <f aca="false">IF($A646="","",PARAMETROS!$C$6+INT(($A646-1)/12))</f>
        <v>118</v>
      </c>
      <c r="D646" s="19" t="n">
        <f aca="false">IF($A646="","",MOD($A646-1,12)+1)</f>
        <v>8</v>
      </c>
      <c r="E646" s="20" t="str">
        <f aca="false">IF($A646&gt;PARAMETROS!$C$33,"",P645)</f>
        <v/>
      </c>
      <c r="F646" s="21" t="str">
        <f aca="false">IF($A646&gt;PARAMETROS!$C$33,"",PARAMETROS!$C$38)</f>
        <v/>
      </c>
      <c r="G646" s="20" t="str">
        <f aca="false">IF($A646&gt;PARAMETROS!$C$33,"",E646*F646)</f>
        <v/>
      </c>
      <c r="H646" s="20" t="str">
        <f aca="false">IF($A646&gt;PARAMETROS!$C$33,"",E646*PARAMETROS!$C$39)</f>
        <v/>
      </c>
      <c r="I646" s="20" t="str">
        <f aca="false">IF($A646&gt;PARAMETROS!$C$33,"",G646-H646)</f>
        <v/>
      </c>
      <c r="J646" s="20" t="str">
        <f aca="false">IF($A646&gt;PARAMETROS!$C$33,"",PARAMETROS!$C$9*(1+PARAMETROS!$C$17)^(B646-1))</f>
        <v/>
      </c>
      <c r="K646" s="20" t="str">
        <f aca="false">IF($A646&gt;PARAMETROS!$C$33,"",K645*(1+PARAMETROS!$C$36))</f>
        <v/>
      </c>
      <c r="L646" s="20" t="str">
        <f aca="false">IF($A646&gt;PARAMETROS!$C$33,"",L645*(1+PARAMETROS!$C$37)*(1+M646))</f>
        <v/>
      </c>
      <c r="M646" s="21" t="str">
        <f aca="false">IF($A646&gt;PARAMETROS!$C$33,"",IF(C646&lt;70,PARAMETROS!$C$40,IF(C646&lt;75,PARAMETROS!$C$41,IF(C646&lt;80,PARAMETROS!$C$42,IF(C646&lt;85,PARAMETROS!$C$43,IF(C646&lt;90,PARAMETROS!$C$44,PARAMETROS!$C$45))))))</f>
        <v/>
      </c>
      <c r="N646" s="20" t="str">
        <f aca="false">IF($A646&gt;PARAMETROS!$C$33,"",K646+L646)</f>
        <v/>
      </c>
      <c r="O646" s="20" t="str">
        <f aca="false">IF($A646&gt;PARAMETROS!$C$33,"",I646+J646-N646)</f>
        <v/>
      </c>
      <c r="P646" s="20" t="str">
        <f aca="false">IF($A646&gt;PARAMETROS!$C$33,"",MAX(E646+I646+J646-N646,0))</f>
        <v/>
      </c>
      <c r="Q646" s="22" t="str">
        <f aca="false">IF($A646&gt;PARAMETROS!$C$33,"",IF(P646&lt;=0,"AGOTADO","OK"))</f>
        <v/>
      </c>
    </row>
    <row r="647" customFormat="false" ht="15" hidden="false" customHeight="false" outlineLevel="0" collapsed="false">
      <c r="A647" s="19" t="n">
        <f aca="false">A646+1</f>
        <v>645</v>
      </c>
      <c r="B647" s="19" t="n">
        <f aca="false">IF($A647="","",ROUNDUP($A647/12,0))</f>
        <v>54</v>
      </c>
      <c r="C647" s="19" t="n">
        <f aca="false">IF($A647="","",PARAMETROS!$C$6+INT(($A647-1)/12))</f>
        <v>118</v>
      </c>
      <c r="D647" s="19" t="n">
        <f aca="false">IF($A647="","",MOD($A647-1,12)+1)</f>
        <v>9</v>
      </c>
      <c r="E647" s="20" t="str">
        <f aca="false">IF($A647&gt;PARAMETROS!$C$33,"",P646)</f>
        <v/>
      </c>
      <c r="F647" s="21" t="str">
        <f aca="false">IF($A647&gt;PARAMETROS!$C$33,"",PARAMETROS!$C$38)</f>
        <v/>
      </c>
      <c r="G647" s="20" t="str">
        <f aca="false">IF($A647&gt;PARAMETROS!$C$33,"",E647*F647)</f>
        <v/>
      </c>
      <c r="H647" s="20" t="str">
        <f aca="false">IF($A647&gt;PARAMETROS!$C$33,"",E647*PARAMETROS!$C$39)</f>
        <v/>
      </c>
      <c r="I647" s="20" t="str">
        <f aca="false">IF($A647&gt;PARAMETROS!$C$33,"",G647-H647)</f>
        <v/>
      </c>
      <c r="J647" s="20" t="str">
        <f aca="false">IF($A647&gt;PARAMETROS!$C$33,"",PARAMETROS!$C$9*(1+PARAMETROS!$C$17)^(B647-1))</f>
        <v/>
      </c>
      <c r="K647" s="20" t="str">
        <f aca="false">IF($A647&gt;PARAMETROS!$C$33,"",K646*(1+PARAMETROS!$C$36))</f>
        <v/>
      </c>
      <c r="L647" s="20" t="str">
        <f aca="false">IF($A647&gt;PARAMETROS!$C$33,"",L646*(1+PARAMETROS!$C$37)*(1+M647))</f>
        <v/>
      </c>
      <c r="M647" s="21" t="str">
        <f aca="false">IF($A647&gt;PARAMETROS!$C$33,"",IF(C647&lt;70,PARAMETROS!$C$40,IF(C647&lt;75,PARAMETROS!$C$41,IF(C647&lt;80,PARAMETROS!$C$42,IF(C647&lt;85,PARAMETROS!$C$43,IF(C647&lt;90,PARAMETROS!$C$44,PARAMETROS!$C$45))))))</f>
        <v/>
      </c>
      <c r="N647" s="20" t="str">
        <f aca="false">IF($A647&gt;PARAMETROS!$C$33,"",K647+L647)</f>
        <v/>
      </c>
      <c r="O647" s="20" t="str">
        <f aca="false">IF($A647&gt;PARAMETROS!$C$33,"",I647+J647-N647)</f>
        <v/>
      </c>
      <c r="P647" s="20" t="str">
        <f aca="false">IF($A647&gt;PARAMETROS!$C$33,"",MAX(E647+I647+J647-N647,0))</f>
        <v/>
      </c>
      <c r="Q647" s="22" t="str">
        <f aca="false">IF($A647&gt;PARAMETROS!$C$33,"",IF(P647&lt;=0,"AGOTADO","OK"))</f>
        <v/>
      </c>
    </row>
    <row r="648" customFormat="false" ht="15" hidden="false" customHeight="false" outlineLevel="0" collapsed="false">
      <c r="A648" s="19" t="n">
        <f aca="false">A647+1</f>
        <v>646</v>
      </c>
      <c r="B648" s="19" t="n">
        <f aca="false">IF($A648="","",ROUNDUP($A648/12,0))</f>
        <v>54</v>
      </c>
      <c r="C648" s="19" t="n">
        <f aca="false">IF($A648="","",PARAMETROS!$C$6+INT(($A648-1)/12))</f>
        <v>118</v>
      </c>
      <c r="D648" s="19" t="n">
        <f aca="false">IF($A648="","",MOD($A648-1,12)+1)</f>
        <v>10</v>
      </c>
      <c r="E648" s="20" t="str">
        <f aca="false">IF($A648&gt;PARAMETROS!$C$33,"",P647)</f>
        <v/>
      </c>
      <c r="F648" s="21" t="str">
        <f aca="false">IF($A648&gt;PARAMETROS!$C$33,"",PARAMETROS!$C$38)</f>
        <v/>
      </c>
      <c r="G648" s="20" t="str">
        <f aca="false">IF($A648&gt;PARAMETROS!$C$33,"",E648*F648)</f>
        <v/>
      </c>
      <c r="H648" s="20" t="str">
        <f aca="false">IF($A648&gt;PARAMETROS!$C$33,"",E648*PARAMETROS!$C$39)</f>
        <v/>
      </c>
      <c r="I648" s="20" t="str">
        <f aca="false">IF($A648&gt;PARAMETROS!$C$33,"",G648-H648)</f>
        <v/>
      </c>
      <c r="J648" s="20" t="str">
        <f aca="false">IF($A648&gt;PARAMETROS!$C$33,"",PARAMETROS!$C$9*(1+PARAMETROS!$C$17)^(B648-1))</f>
        <v/>
      </c>
      <c r="K648" s="20" t="str">
        <f aca="false">IF($A648&gt;PARAMETROS!$C$33,"",K647*(1+PARAMETROS!$C$36))</f>
        <v/>
      </c>
      <c r="L648" s="20" t="str">
        <f aca="false">IF($A648&gt;PARAMETROS!$C$33,"",L647*(1+PARAMETROS!$C$37)*(1+M648))</f>
        <v/>
      </c>
      <c r="M648" s="21" t="str">
        <f aca="false">IF($A648&gt;PARAMETROS!$C$33,"",IF(C648&lt;70,PARAMETROS!$C$40,IF(C648&lt;75,PARAMETROS!$C$41,IF(C648&lt;80,PARAMETROS!$C$42,IF(C648&lt;85,PARAMETROS!$C$43,IF(C648&lt;90,PARAMETROS!$C$44,PARAMETROS!$C$45))))))</f>
        <v/>
      </c>
      <c r="N648" s="20" t="str">
        <f aca="false">IF($A648&gt;PARAMETROS!$C$33,"",K648+L648)</f>
        <v/>
      </c>
      <c r="O648" s="20" t="str">
        <f aca="false">IF($A648&gt;PARAMETROS!$C$33,"",I648+J648-N648)</f>
        <v/>
      </c>
      <c r="P648" s="20" t="str">
        <f aca="false">IF($A648&gt;PARAMETROS!$C$33,"",MAX(E648+I648+J648-N648,0))</f>
        <v/>
      </c>
      <c r="Q648" s="22" t="str">
        <f aca="false">IF($A648&gt;PARAMETROS!$C$33,"",IF(P648&lt;=0,"AGOTADO","OK"))</f>
        <v/>
      </c>
    </row>
    <row r="649" customFormat="false" ht="15" hidden="false" customHeight="false" outlineLevel="0" collapsed="false">
      <c r="A649" s="19" t="n">
        <f aca="false">A648+1</f>
        <v>647</v>
      </c>
      <c r="B649" s="19" t="n">
        <f aca="false">IF($A649="","",ROUNDUP($A649/12,0))</f>
        <v>54</v>
      </c>
      <c r="C649" s="19" t="n">
        <f aca="false">IF($A649="","",PARAMETROS!$C$6+INT(($A649-1)/12))</f>
        <v>118</v>
      </c>
      <c r="D649" s="19" t="n">
        <f aca="false">IF($A649="","",MOD($A649-1,12)+1)</f>
        <v>11</v>
      </c>
      <c r="E649" s="20" t="str">
        <f aca="false">IF($A649&gt;PARAMETROS!$C$33,"",P648)</f>
        <v/>
      </c>
      <c r="F649" s="21" t="str">
        <f aca="false">IF($A649&gt;PARAMETROS!$C$33,"",PARAMETROS!$C$38)</f>
        <v/>
      </c>
      <c r="G649" s="20" t="str">
        <f aca="false">IF($A649&gt;PARAMETROS!$C$33,"",E649*F649)</f>
        <v/>
      </c>
      <c r="H649" s="20" t="str">
        <f aca="false">IF($A649&gt;PARAMETROS!$C$33,"",E649*PARAMETROS!$C$39)</f>
        <v/>
      </c>
      <c r="I649" s="20" t="str">
        <f aca="false">IF($A649&gt;PARAMETROS!$C$33,"",G649-H649)</f>
        <v/>
      </c>
      <c r="J649" s="20" t="str">
        <f aca="false">IF($A649&gt;PARAMETROS!$C$33,"",PARAMETROS!$C$9*(1+PARAMETROS!$C$17)^(B649-1))</f>
        <v/>
      </c>
      <c r="K649" s="20" t="str">
        <f aca="false">IF($A649&gt;PARAMETROS!$C$33,"",K648*(1+PARAMETROS!$C$36))</f>
        <v/>
      </c>
      <c r="L649" s="20" t="str">
        <f aca="false">IF($A649&gt;PARAMETROS!$C$33,"",L648*(1+PARAMETROS!$C$37)*(1+M649))</f>
        <v/>
      </c>
      <c r="M649" s="21" t="str">
        <f aca="false">IF($A649&gt;PARAMETROS!$C$33,"",IF(C649&lt;70,PARAMETROS!$C$40,IF(C649&lt;75,PARAMETROS!$C$41,IF(C649&lt;80,PARAMETROS!$C$42,IF(C649&lt;85,PARAMETROS!$C$43,IF(C649&lt;90,PARAMETROS!$C$44,PARAMETROS!$C$45))))))</f>
        <v/>
      </c>
      <c r="N649" s="20" t="str">
        <f aca="false">IF($A649&gt;PARAMETROS!$C$33,"",K649+L649)</f>
        <v/>
      </c>
      <c r="O649" s="20" t="str">
        <f aca="false">IF($A649&gt;PARAMETROS!$C$33,"",I649+J649-N649)</f>
        <v/>
      </c>
      <c r="P649" s="20" t="str">
        <f aca="false">IF($A649&gt;PARAMETROS!$C$33,"",MAX(E649+I649+J649-N649,0))</f>
        <v/>
      </c>
      <c r="Q649" s="22" t="str">
        <f aca="false">IF($A649&gt;PARAMETROS!$C$33,"",IF(P649&lt;=0,"AGOTADO","OK"))</f>
        <v/>
      </c>
    </row>
    <row r="650" customFormat="false" ht="15" hidden="false" customHeight="false" outlineLevel="0" collapsed="false">
      <c r="A650" s="19" t="n">
        <f aca="false">A649+1</f>
        <v>648</v>
      </c>
      <c r="B650" s="19" t="n">
        <f aca="false">IF($A650="","",ROUNDUP($A650/12,0))</f>
        <v>54</v>
      </c>
      <c r="C650" s="19" t="n">
        <f aca="false">IF($A650="","",PARAMETROS!$C$6+INT(($A650-1)/12))</f>
        <v>118</v>
      </c>
      <c r="D650" s="19" t="n">
        <f aca="false">IF($A650="","",MOD($A650-1,12)+1)</f>
        <v>12</v>
      </c>
      <c r="E650" s="20" t="str">
        <f aca="false">IF($A650&gt;PARAMETROS!$C$33,"",P649)</f>
        <v/>
      </c>
      <c r="F650" s="21" t="str">
        <f aca="false">IF($A650&gt;PARAMETROS!$C$33,"",PARAMETROS!$C$38)</f>
        <v/>
      </c>
      <c r="G650" s="20" t="str">
        <f aca="false">IF($A650&gt;PARAMETROS!$C$33,"",E650*F650)</f>
        <v/>
      </c>
      <c r="H650" s="20" t="str">
        <f aca="false">IF($A650&gt;PARAMETROS!$C$33,"",E650*PARAMETROS!$C$39)</f>
        <v/>
      </c>
      <c r="I650" s="20" t="str">
        <f aca="false">IF($A650&gt;PARAMETROS!$C$33,"",G650-H650)</f>
        <v/>
      </c>
      <c r="J650" s="20" t="str">
        <f aca="false">IF($A650&gt;PARAMETROS!$C$33,"",PARAMETROS!$C$9*(1+PARAMETROS!$C$17)^(B650-1))</f>
        <v/>
      </c>
      <c r="K650" s="20" t="str">
        <f aca="false">IF($A650&gt;PARAMETROS!$C$33,"",K649*(1+PARAMETROS!$C$36))</f>
        <v/>
      </c>
      <c r="L650" s="20" t="str">
        <f aca="false">IF($A650&gt;PARAMETROS!$C$33,"",L649*(1+PARAMETROS!$C$37)*(1+M650))</f>
        <v/>
      </c>
      <c r="M650" s="21" t="str">
        <f aca="false">IF($A650&gt;PARAMETROS!$C$33,"",IF(C650&lt;70,PARAMETROS!$C$40,IF(C650&lt;75,PARAMETROS!$C$41,IF(C650&lt;80,PARAMETROS!$C$42,IF(C650&lt;85,PARAMETROS!$C$43,IF(C650&lt;90,PARAMETROS!$C$44,PARAMETROS!$C$45))))))</f>
        <v/>
      </c>
      <c r="N650" s="20" t="str">
        <f aca="false">IF($A650&gt;PARAMETROS!$C$33,"",K650+L650)</f>
        <v/>
      </c>
      <c r="O650" s="20" t="str">
        <f aca="false">IF($A650&gt;PARAMETROS!$C$33,"",I650+J650-N650)</f>
        <v/>
      </c>
      <c r="P650" s="20" t="str">
        <f aca="false">IF($A650&gt;PARAMETROS!$C$33,"",MAX(E650+I650+J650-N650,0))</f>
        <v/>
      </c>
      <c r="Q650" s="22" t="str">
        <f aca="false">IF($A650&gt;PARAMETROS!$C$33,"",IF(P650&lt;=0,"AGOTADO","OK"))</f>
        <v/>
      </c>
    </row>
    <row r="651" customFormat="false" ht="15" hidden="false" customHeight="false" outlineLevel="0" collapsed="false">
      <c r="A651" s="15" t="n">
        <f aca="false">A650+1</f>
        <v>649</v>
      </c>
      <c r="B651" s="15" t="n">
        <f aca="false">IF($A651="","",ROUNDUP($A651/12,0))</f>
        <v>55</v>
      </c>
      <c r="C651" s="15" t="n">
        <f aca="false">IF($A651="","",PARAMETROS!$C$6+INT(($A651-1)/12))</f>
        <v>119</v>
      </c>
      <c r="D651" s="15" t="n">
        <f aca="false">IF($A651="","",MOD($A651-1,12)+1)</f>
        <v>1</v>
      </c>
      <c r="E651" s="16" t="str">
        <f aca="false">IF($A651&gt;PARAMETROS!$C$33,"",P650)</f>
        <v/>
      </c>
      <c r="F651" s="17" t="str">
        <f aca="false">IF($A651&gt;PARAMETROS!$C$33,"",PARAMETROS!$C$38)</f>
        <v/>
      </c>
      <c r="G651" s="16" t="str">
        <f aca="false">IF($A651&gt;PARAMETROS!$C$33,"",E651*F651)</f>
        <v/>
      </c>
      <c r="H651" s="16" t="str">
        <f aca="false">IF($A651&gt;PARAMETROS!$C$33,"",E651*PARAMETROS!$C$39)</f>
        <v/>
      </c>
      <c r="I651" s="16" t="str">
        <f aca="false">IF($A651&gt;PARAMETROS!$C$33,"",G651-H651)</f>
        <v/>
      </c>
      <c r="J651" s="16" t="str">
        <f aca="false">IF($A651&gt;PARAMETROS!$C$33,"",PARAMETROS!$C$9*(1+PARAMETROS!$C$17)^(B651-1))</f>
        <v/>
      </c>
      <c r="K651" s="16" t="str">
        <f aca="false">IF($A651&gt;PARAMETROS!$C$33,"",K650*(1+PARAMETROS!$C$36))</f>
        <v/>
      </c>
      <c r="L651" s="16" t="str">
        <f aca="false">IF($A651&gt;PARAMETROS!$C$33,"",L650*(1+PARAMETROS!$C$37)*(1+M651))</f>
        <v/>
      </c>
      <c r="M651" s="17" t="str">
        <f aca="false">IF($A651&gt;PARAMETROS!$C$33,"",IF(C651&lt;70,PARAMETROS!$C$40,IF(C651&lt;75,PARAMETROS!$C$41,IF(C651&lt;80,PARAMETROS!$C$42,IF(C651&lt;85,PARAMETROS!$C$43,IF(C651&lt;90,PARAMETROS!$C$44,PARAMETROS!$C$45))))))</f>
        <v/>
      </c>
      <c r="N651" s="16" t="str">
        <f aca="false">IF($A651&gt;PARAMETROS!$C$33,"",K651+L651)</f>
        <v/>
      </c>
      <c r="O651" s="16" t="str">
        <f aca="false">IF($A651&gt;PARAMETROS!$C$33,"",I651+J651-N651)</f>
        <v/>
      </c>
      <c r="P651" s="16" t="str">
        <f aca="false">IF($A651&gt;PARAMETROS!$C$33,"",MAX(E651+I651+J651-N651,0))</f>
        <v/>
      </c>
      <c r="Q651" s="18" t="str">
        <f aca="false">IF($A651&gt;PARAMETROS!$C$33,"",IF(P651&lt;=0,"AGOTADO","OK"))</f>
        <v/>
      </c>
    </row>
    <row r="652" customFormat="false" ht="15" hidden="false" customHeight="false" outlineLevel="0" collapsed="false">
      <c r="A652" s="15" t="n">
        <f aca="false">A651+1</f>
        <v>650</v>
      </c>
      <c r="B652" s="15" t="n">
        <f aca="false">IF($A652="","",ROUNDUP($A652/12,0))</f>
        <v>55</v>
      </c>
      <c r="C652" s="15" t="n">
        <f aca="false">IF($A652="","",PARAMETROS!$C$6+INT(($A652-1)/12))</f>
        <v>119</v>
      </c>
      <c r="D652" s="15" t="n">
        <f aca="false">IF($A652="","",MOD($A652-1,12)+1)</f>
        <v>2</v>
      </c>
      <c r="E652" s="16" t="str">
        <f aca="false">IF($A652&gt;PARAMETROS!$C$33,"",P651)</f>
        <v/>
      </c>
      <c r="F652" s="17" t="str">
        <f aca="false">IF($A652&gt;PARAMETROS!$C$33,"",PARAMETROS!$C$38)</f>
        <v/>
      </c>
      <c r="G652" s="16" t="str">
        <f aca="false">IF($A652&gt;PARAMETROS!$C$33,"",E652*F652)</f>
        <v/>
      </c>
      <c r="H652" s="16" t="str">
        <f aca="false">IF($A652&gt;PARAMETROS!$C$33,"",E652*PARAMETROS!$C$39)</f>
        <v/>
      </c>
      <c r="I652" s="16" t="str">
        <f aca="false">IF($A652&gt;PARAMETROS!$C$33,"",G652-H652)</f>
        <v/>
      </c>
      <c r="J652" s="16" t="str">
        <f aca="false">IF($A652&gt;PARAMETROS!$C$33,"",PARAMETROS!$C$9*(1+PARAMETROS!$C$17)^(B652-1))</f>
        <v/>
      </c>
      <c r="K652" s="16" t="str">
        <f aca="false">IF($A652&gt;PARAMETROS!$C$33,"",K651*(1+PARAMETROS!$C$36))</f>
        <v/>
      </c>
      <c r="L652" s="16" t="str">
        <f aca="false">IF($A652&gt;PARAMETROS!$C$33,"",L651*(1+PARAMETROS!$C$37)*(1+M652))</f>
        <v/>
      </c>
      <c r="M652" s="17" t="str">
        <f aca="false">IF($A652&gt;PARAMETROS!$C$33,"",IF(C652&lt;70,PARAMETROS!$C$40,IF(C652&lt;75,PARAMETROS!$C$41,IF(C652&lt;80,PARAMETROS!$C$42,IF(C652&lt;85,PARAMETROS!$C$43,IF(C652&lt;90,PARAMETROS!$C$44,PARAMETROS!$C$45))))))</f>
        <v/>
      </c>
      <c r="N652" s="16" t="str">
        <f aca="false">IF($A652&gt;PARAMETROS!$C$33,"",K652+L652)</f>
        <v/>
      </c>
      <c r="O652" s="16" t="str">
        <f aca="false">IF($A652&gt;PARAMETROS!$C$33,"",I652+J652-N652)</f>
        <v/>
      </c>
      <c r="P652" s="16" t="str">
        <f aca="false">IF($A652&gt;PARAMETROS!$C$33,"",MAX(E652+I652+J652-N652,0))</f>
        <v/>
      </c>
      <c r="Q652" s="18" t="str">
        <f aca="false">IF($A652&gt;PARAMETROS!$C$33,"",IF(P652&lt;=0,"AGOTADO","OK"))</f>
        <v/>
      </c>
    </row>
    <row r="653" customFormat="false" ht="15" hidden="false" customHeight="false" outlineLevel="0" collapsed="false">
      <c r="A653" s="15" t="n">
        <f aca="false">A652+1</f>
        <v>651</v>
      </c>
      <c r="B653" s="15" t="n">
        <f aca="false">IF($A653="","",ROUNDUP($A653/12,0))</f>
        <v>55</v>
      </c>
      <c r="C653" s="15" t="n">
        <f aca="false">IF($A653="","",PARAMETROS!$C$6+INT(($A653-1)/12))</f>
        <v>119</v>
      </c>
      <c r="D653" s="15" t="n">
        <f aca="false">IF($A653="","",MOD($A653-1,12)+1)</f>
        <v>3</v>
      </c>
      <c r="E653" s="16" t="str">
        <f aca="false">IF($A653&gt;PARAMETROS!$C$33,"",P652)</f>
        <v/>
      </c>
      <c r="F653" s="17" t="str">
        <f aca="false">IF($A653&gt;PARAMETROS!$C$33,"",PARAMETROS!$C$38)</f>
        <v/>
      </c>
      <c r="G653" s="16" t="str">
        <f aca="false">IF($A653&gt;PARAMETROS!$C$33,"",E653*F653)</f>
        <v/>
      </c>
      <c r="H653" s="16" t="str">
        <f aca="false">IF($A653&gt;PARAMETROS!$C$33,"",E653*PARAMETROS!$C$39)</f>
        <v/>
      </c>
      <c r="I653" s="16" t="str">
        <f aca="false">IF($A653&gt;PARAMETROS!$C$33,"",G653-H653)</f>
        <v/>
      </c>
      <c r="J653" s="16" t="str">
        <f aca="false">IF($A653&gt;PARAMETROS!$C$33,"",PARAMETROS!$C$9*(1+PARAMETROS!$C$17)^(B653-1))</f>
        <v/>
      </c>
      <c r="K653" s="16" t="str">
        <f aca="false">IF($A653&gt;PARAMETROS!$C$33,"",K652*(1+PARAMETROS!$C$36))</f>
        <v/>
      </c>
      <c r="L653" s="16" t="str">
        <f aca="false">IF($A653&gt;PARAMETROS!$C$33,"",L652*(1+PARAMETROS!$C$37)*(1+M653))</f>
        <v/>
      </c>
      <c r="M653" s="17" t="str">
        <f aca="false">IF($A653&gt;PARAMETROS!$C$33,"",IF(C653&lt;70,PARAMETROS!$C$40,IF(C653&lt;75,PARAMETROS!$C$41,IF(C653&lt;80,PARAMETROS!$C$42,IF(C653&lt;85,PARAMETROS!$C$43,IF(C653&lt;90,PARAMETROS!$C$44,PARAMETROS!$C$45))))))</f>
        <v/>
      </c>
      <c r="N653" s="16" t="str">
        <f aca="false">IF($A653&gt;PARAMETROS!$C$33,"",K653+L653)</f>
        <v/>
      </c>
      <c r="O653" s="16" t="str">
        <f aca="false">IF($A653&gt;PARAMETROS!$C$33,"",I653+J653-N653)</f>
        <v/>
      </c>
      <c r="P653" s="16" t="str">
        <f aca="false">IF($A653&gt;PARAMETROS!$C$33,"",MAX(E653+I653+J653-N653,0))</f>
        <v/>
      </c>
      <c r="Q653" s="18" t="str">
        <f aca="false">IF($A653&gt;PARAMETROS!$C$33,"",IF(P653&lt;=0,"AGOTADO","OK"))</f>
        <v/>
      </c>
    </row>
    <row r="654" customFormat="false" ht="15" hidden="false" customHeight="false" outlineLevel="0" collapsed="false">
      <c r="A654" s="15" t="n">
        <f aca="false">A653+1</f>
        <v>652</v>
      </c>
      <c r="B654" s="15" t="n">
        <f aca="false">IF($A654="","",ROUNDUP($A654/12,0))</f>
        <v>55</v>
      </c>
      <c r="C654" s="15" t="n">
        <f aca="false">IF($A654="","",PARAMETROS!$C$6+INT(($A654-1)/12))</f>
        <v>119</v>
      </c>
      <c r="D654" s="15" t="n">
        <f aca="false">IF($A654="","",MOD($A654-1,12)+1)</f>
        <v>4</v>
      </c>
      <c r="E654" s="16" t="str">
        <f aca="false">IF($A654&gt;PARAMETROS!$C$33,"",P653)</f>
        <v/>
      </c>
      <c r="F654" s="17" t="str">
        <f aca="false">IF($A654&gt;PARAMETROS!$C$33,"",PARAMETROS!$C$38)</f>
        <v/>
      </c>
      <c r="G654" s="16" t="str">
        <f aca="false">IF($A654&gt;PARAMETROS!$C$33,"",E654*F654)</f>
        <v/>
      </c>
      <c r="H654" s="16" t="str">
        <f aca="false">IF($A654&gt;PARAMETROS!$C$33,"",E654*PARAMETROS!$C$39)</f>
        <v/>
      </c>
      <c r="I654" s="16" t="str">
        <f aca="false">IF($A654&gt;PARAMETROS!$C$33,"",G654-H654)</f>
        <v/>
      </c>
      <c r="J654" s="16" t="str">
        <f aca="false">IF($A654&gt;PARAMETROS!$C$33,"",PARAMETROS!$C$9*(1+PARAMETROS!$C$17)^(B654-1))</f>
        <v/>
      </c>
      <c r="K654" s="16" t="str">
        <f aca="false">IF($A654&gt;PARAMETROS!$C$33,"",K653*(1+PARAMETROS!$C$36))</f>
        <v/>
      </c>
      <c r="L654" s="16" t="str">
        <f aca="false">IF($A654&gt;PARAMETROS!$C$33,"",L653*(1+PARAMETROS!$C$37)*(1+M654))</f>
        <v/>
      </c>
      <c r="M654" s="17" t="str">
        <f aca="false">IF($A654&gt;PARAMETROS!$C$33,"",IF(C654&lt;70,PARAMETROS!$C$40,IF(C654&lt;75,PARAMETROS!$C$41,IF(C654&lt;80,PARAMETROS!$C$42,IF(C654&lt;85,PARAMETROS!$C$43,IF(C654&lt;90,PARAMETROS!$C$44,PARAMETROS!$C$45))))))</f>
        <v/>
      </c>
      <c r="N654" s="16" t="str">
        <f aca="false">IF($A654&gt;PARAMETROS!$C$33,"",K654+L654)</f>
        <v/>
      </c>
      <c r="O654" s="16" t="str">
        <f aca="false">IF($A654&gt;PARAMETROS!$C$33,"",I654+J654-N654)</f>
        <v/>
      </c>
      <c r="P654" s="16" t="str">
        <f aca="false">IF($A654&gt;PARAMETROS!$C$33,"",MAX(E654+I654+J654-N654,0))</f>
        <v/>
      </c>
      <c r="Q654" s="18" t="str">
        <f aca="false">IF($A654&gt;PARAMETROS!$C$33,"",IF(P654&lt;=0,"AGOTADO","OK"))</f>
        <v/>
      </c>
    </row>
    <row r="655" customFormat="false" ht="15" hidden="false" customHeight="false" outlineLevel="0" collapsed="false">
      <c r="A655" s="15" t="n">
        <f aca="false">A654+1</f>
        <v>653</v>
      </c>
      <c r="B655" s="15" t="n">
        <f aca="false">IF($A655="","",ROUNDUP($A655/12,0))</f>
        <v>55</v>
      </c>
      <c r="C655" s="15" t="n">
        <f aca="false">IF($A655="","",PARAMETROS!$C$6+INT(($A655-1)/12))</f>
        <v>119</v>
      </c>
      <c r="D655" s="15" t="n">
        <f aca="false">IF($A655="","",MOD($A655-1,12)+1)</f>
        <v>5</v>
      </c>
      <c r="E655" s="16" t="str">
        <f aca="false">IF($A655&gt;PARAMETROS!$C$33,"",P654)</f>
        <v/>
      </c>
      <c r="F655" s="17" t="str">
        <f aca="false">IF($A655&gt;PARAMETROS!$C$33,"",PARAMETROS!$C$38)</f>
        <v/>
      </c>
      <c r="G655" s="16" t="str">
        <f aca="false">IF($A655&gt;PARAMETROS!$C$33,"",E655*F655)</f>
        <v/>
      </c>
      <c r="H655" s="16" t="str">
        <f aca="false">IF($A655&gt;PARAMETROS!$C$33,"",E655*PARAMETROS!$C$39)</f>
        <v/>
      </c>
      <c r="I655" s="16" t="str">
        <f aca="false">IF($A655&gt;PARAMETROS!$C$33,"",G655-H655)</f>
        <v/>
      </c>
      <c r="J655" s="16" t="str">
        <f aca="false">IF($A655&gt;PARAMETROS!$C$33,"",PARAMETROS!$C$9*(1+PARAMETROS!$C$17)^(B655-1))</f>
        <v/>
      </c>
      <c r="K655" s="16" t="str">
        <f aca="false">IF($A655&gt;PARAMETROS!$C$33,"",K654*(1+PARAMETROS!$C$36))</f>
        <v/>
      </c>
      <c r="L655" s="16" t="str">
        <f aca="false">IF($A655&gt;PARAMETROS!$C$33,"",L654*(1+PARAMETROS!$C$37)*(1+M655))</f>
        <v/>
      </c>
      <c r="M655" s="17" t="str">
        <f aca="false">IF($A655&gt;PARAMETROS!$C$33,"",IF(C655&lt;70,PARAMETROS!$C$40,IF(C655&lt;75,PARAMETROS!$C$41,IF(C655&lt;80,PARAMETROS!$C$42,IF(C655&lt;85,PARAMETROS!$C$43,IF(C655&lt;90,PARAMETROS!$C$44,PARAMETROS!$C$45))))))</f>
        <v/>
      </c>
      <c r="N655" s="16" t="str">
        <f aca="false">IF($A655&gt;PARAMETROS!$C$33,"",K655+L655)</f>
        <v/>
      </c>
      <c r="O655" s="16" t="str">
        <f aca="false">IF($A655&gt;PARAMETROS!$C$33,"",I655+J655-N655)</f>
        <v/>
      </c>
      <c r="P655" s="16" t="str">
        <f aca="false">IF($A655&gt;PARAMETROS!$C$33,"",MAX(E655+I655+J655-N655,0))</f>
        <v/>
      </c>
      <c r="Q655" s="18" t="str">
        <f aca="false">IF($A655&gt;PARAMETROS!$C$33,"",IF(P655&lt;=0,"AGOTADO","OK"))</f>
        <v/>
      </c>
    </row>
    <row r="656" customFormat="false" ht="15" hidden="false" customHeight="false" outlineLevel="0" collapsed="false">
      <c r="A656" s="15" t="n">
        <f aca="false">A655+1</f>
        <v>654</v>
      </c>
      <c r="B656" s="15" t="n">
        <f aca="false">IF($A656="","",ROUNDUP($A656/12,0))</f>
        <v>55</v>
      </c>
      <c r="C656" s="15" t="n">
        <f aca="false">IF($A656="","",PARAMETROS!$C$6+INT(($A656-1)/12))</f>
        <v>119</v>
      </c>
      <c r="D656" s="15" t="n">
        <f aca="false">IF($A656="","",MOD($A656-1,12)+1)</f>
        <v>6</v>
      </c>
      <c r="E656" s="16" t="str">
        <f aca="false">IF($A656&gt;PARAMETROS!$C$33,"",P655)</f>
        <v/>
      </c>
      <c r="F656" s="17" t="str">
        <f aca="false">IF($A656&gt;PARAMETROS!$C$33,"",PARAMETROS!$C$38)</f>
        <v/>
      </c>
      <c r="G656" s="16" t="str">
        <f aca="false">IF($A656&gt;PARAMETROS!$C$33,"",E656*F656)</f>
        <v/>
      </c>
      <c r="H656" s="16" t="str">
        <f aca="false">IF($A656&gt;PARAMETROS!$C$33,"",E656*PARAMETROS!$C$39)</f>
        <v/>
      </c>
      <c r="I656" s="16" t="str">
        <f aca="false">IF($A656&gt;PARAMETROS!$C$33,"",G656-H656)</f>
        <v/>
      </c>
      <c r="J656" s="16" t="str">
        <f aca="false">IF($A656&gt;PARAMETROS!$C$33,"",PARAMETROS!$C$9*(1+PARAMETROS!$C$17)^(B656-1))</f>
        <v/>
      </c>
      <c r="K656" s="16" t="str">
        <f aca="false">IF($A656&gt;PARAMETROS!$C$33,"",K655*(1+PARAMETROS!$C$36))</f>
        <v/>
      </c>
      <c r="L656" s="16" t="str">
        <f aca="false">IF($A656&gt;PARAMETROS!$C$33,"",L655*(1+PARAMETROS!$C$37)*(1+M656))</f>
        <v/>
      </c>
      <c r="M656" s="17" t="str">
        <f aca="false">IF($A656&gt;PARAMETROS!$C$33,"",IF(C656&lt;70,PARAMETROS!$C$40,IF(C656&lt;75,PARAMETROS!$C$41,IF(C656&lt;80,PARAMETROS!$C$42,IF(C656&lt;85,PARAMETROS!$C$43,IF(C656&lt;90,PARAMETROS!$C$44,PARAMETROS!$C$45))))))</f>
        <v/>
      </c>
      <c r="N656" s="16" t="str">
        <f aca="false">IF($A656&gt;PARAMETROS!$C$33,"",K656+L656)</f>
        <v/>
      </c>
      <c r="O656" s="16" t="str">
        <f aca="false">IF($A656&gt;PARAMETROS!$C$33,"",I656+J656-N656)</f>
        <v/>
      </c>
      <c r="P656" s="16" t="str">
        <f aca="false">IF($A656&gt;PARAMETROS!$C$33,"",MAX(E656+I656+J656-N656,0))</f>
        <v/>
      </c>
      <c r="Q656" s="18" t="str">
        <f aca="false">IF($A656&gt;PARAMETROS!$C$33,"",IF(P656&lt;=0,"AGOTADO","OK"))</f>
        <v/>
      </c>
    </row>
    <row r="657" customFormat="false" ht="15" hidden="false" customHeight="false" outlineLevel="0" collapsed="false">
      <c r="A657" s="15" t="n">
        <f aca="false">A656+1</f>
        <v>655</v>
      </c>
      <c r="B657" s="15" t="n">
        <f aca="false">IF($A657="","",ROUNDUP($A657/12,0))</f>
        <v>55</v>
      </c>
      <c r="C657" s="15" t="n">
        <f aca="false">IF($A657="","",PARAMETROS!$C$6+INT(($A657-1)/12))</f>
        <v>119</v>
      </c>
      <c r="D657" s="15" t="n">
        <f aca="false">IF($A657="","",MOD($A657-1,12)+1)</f>
        <v>7</v>
      </c>
      <c r="E657" s="16" t="str">
        <f aca="false">IF($A657&gt;PARAMETROS!$C$33,"",P656)</f>
        <v/>
      </c>
      <c r="F657" s="17" t="str">
        <f aca="false">IF($A657&gt;PARAMETROS!$C$33,"",PARAMETROS!$C$38)</f>
        <v/>
      </c>
      <c r="G657" s="16" t="str">
        <f aca="false">IF($A657&gt;PARAMETROS!$C$33,"",E657*F657)</f>
        <v/>
      </c>
      <c r="H657" s="16" t="str">
        <f aca="false">IF($A657&gt;PARAMETROS!$C$33,"",E657*PARAMETROS!$C$39)</f>
        <v/>
      </c>
      <c r="I657" s="16" t="str">
        <f aca="false">IF($A657&gt;PARAMETROS!$C$33,"",G657-H657)</f>
        <v/>
      </c>
      <c r="J657" s="16" t="str">
        <f aca="false">IF($A657&gt;PARAMETROS!$C$33,"",PARAMETROS!$C$9*(1+PARAMETROS!$C$17)^(B657-1))</f>
        <v/>
      </c>
      <c r="K657" s="16" t="str">
        <f aca="false">IF($A657&gt;PARAMETROS!$C$33,"",K656*(1+PARAMETROS!$C$36))</f>
        <v/>
      </c>
      <c r="L657" s="16" t="str">
        <f aca="false">IF($A657&gt;PARAMETROS!$C$33,"",L656*(1+PARAMETROS!$C$37)*(1+M657))</f>
        <v/>
      </c>
      <c r="M657" s="17" t="str">
        <f aca="false">IF($A657&gt;PARAMETROS!$C$33,"",IF(C657&lt;70,PARAMETROS!$C$40,IF(C657&lt;75,PARAMETROS!$C$41,IF(C657&lt;80,PARAMETROS!$C$42,IF(C657&lt;85,PARAMETROS!$C$43,IF(C657&lt;90,PARAMETROS!$C$44,PARAMETROS!$C$45))))))</f>
        <v/>
      </c>
      <c r="N657" s="16" t="str">
        <f aca="false">IF($A657&gt;PARAMETROS!$C$33,"",K657+L657)</f>
        <v/>
      </c>
      <c r="O657" s="16" t="str">
        <f aca="false">IF($A657&gt;PARAMETROS!$C$33,"",I657+J657-N657)</f>
        <v/>
      </c>
      <c r="P657" s="16" t="str">
        <f aca="false">IF($A657&gt;PARAMETROS!$C$33,"",MAX(E657+I657+J657-N657,0))</f>
        <v/>
      </c>
      <c r="Q657" s="18" t="str">
        <f aca="false">IF($A657&gt;PARAMETROS!$C$33,"",IF(P657&lt;=0,"AGOTADO","OK"))</f>
        <v/>
      </c>
    </row>
    <row r="658" customFormat="false" ht="15" hidden="false" customHeight="false" outlineLevel="0" collapsed="false">
      <c r="A658" s="15" t="n">
        <f aca="false">A657+1</f>
        <v>656</v>
      </c>
      <c r="B658" s="15" t="n">
        <f aca="false">IF($A658="","",ROUNDUP($A658/12,0))</f>
        <v>55</v>
      </c>
      <c r="C658" s="15" t="n">
        <f aca="false">IF($A658="","",PARAMETROS!$C$6+INT(($A658-1)/12))</f>
        <v>119</v>
      </c>
      <c r="D658" s="15" t="n">
        <f aca="false">IF($A658="","",MOD($A658-1,12)+1)</f>
        <v>8</v>
      </c>
      <c r="E658" s="16" t="str">
        <f aca="false">IF($A658&gt;PARAMETROS!$C$33,"",P657)</f>
        <v/>
      </c>
      <c r="F658" s="17" t="str">
        <f aca="false">IF($A658&gt;PARAMETROS!$C$33,"",PARAMETROS!$C$38)</f>
        <v/>
      </c>
      <c r="G658" s="16" t="str">
        <f aca="false">IF($A658&gt;PARAMETROS!$C$33,"",E658*F658)</f>
        <v/>
      </c>
      <c r="H658" s="16" t="str">
        <f aca="false">IF($A658&gt;PARAMETROS!$C$33,"",E658*PARAMETROS!$C$39)</f>
        <v/>
      </c>
      <c r="I658" s="16" t="str">
        <f aca="false">IF($A658&gt;PARAMETROS!$C$33,"",G658-H658)</f>
        <v/>
      </c>
      <c r="J658" s="16" t="str">
        <f aca="false">IF($A658&gt;PARAMETROS!$C$33,"",PARAMETROS!$C$9*(1+PARAMETROS!$C$17)^(B658-1))</f>
        <v/>
      </c>
      <c r="K658" s="16" t="str">
        <f aca="false">IF($A658&gt;PARAMETROS!$C$33,"",K657*(1+PARAMETROS!$C$36))</f>
        <v/>
      </c>
      <c r="L658" s="16" t="str">
        <f aca="false">IF($A658&gt;PARAMETROS!$C$33,"",L657*(1+PARAMETROS!$C$37)*(1+M658))</f>
        <v/>
      </c>
      <c r="M658" s="17" t="str">
        <f aca="false">IF($A658&gt;PARAMETROS!$C$33,"",IF(C658&lt;70,PARAMETROS!$C$40,IF(C658&lt;75,PARAMETROS!$C$41,IF(C658&lt;80,PARAMETROS!$C$42,IF(C658&lt;85,PARAMETROS!$C$43,IF(C658&lt;90,PARAMETROS!$C$44,PARAMETROS!$C$45))))))</f>
        <v/>
      </c>
      <c r="N658" s="16" t="str">
        <f aca="false">IF($A658&gt;PARAMETROS!$C$33,"",K658+L658)</f>
        <v/>
      </c>
      <c r="O658" s="16" t="str">
        <f aca="false">IF($A658&gt;PARAMETROS!$C$33,"",I658+J658-N658)</f>
        <v/>
      </c>
      <c r="P658" s="16" t="str">
        <f aca="false">IF($A658&gt;PARAMETROS!$C$33,"",MAX(E658+I658+J658-N658,0))</f>
        <v/>
      </c>
      <c r="Q658" s="18" t="str">
        <f aca="false">IF($A658&gt;PARAMETROS!$C$33,"",IF(P658&lt;=0,"AGOTADO","OK"))</f>
        <v/>
      </c>
    </row>
    <row r="659" customFormat="false" ht="15" hidden="false" customHeight="false" outlineLevel="0" collapsed="false">
      <c r="A659" s="15" t="n">
        <f aca="false">A658+1</f>
        <v>657</v>
      </c>
      <c r="B659" s="15" t="n">
        <f aca="false">IF($A659="","",ROUNDUP($A659/12,0))</f>
        <v>55</v>
      </c>
      <c r="C659" s="15" t="n">
        <f aca="false">IF($A659="","",PARAMETROS!$C$6+INT(($A659-1)/12))</f>
        <v>119</v>
      </c>
      <c r="D659" s="15" t="n">
        <f aca="false">IF($A659="","",MOD($A659-1,12)+1)</f>
        <v>9</v>
      </c>
      <c r="E659" s="16" t="str">
        <f aca="false">IF($A659&gt;PARAMETROS!$C$33,"",P658)</f>
        <v/>
      </c>
      <c r="F659" s="17" t="str">
        <f aca="false">IF($A659&gt;PARAMETROS!$C$33,"",PARAMETROS!$C$38)</f>
        <v/>
      </c>
      <c r="G659" s="16" t="str">
        <f aca="false">IF($A659&gt;PARAMETROS!$C$33,"",E659*F659)</f>
        <v/>
      </c>
      <c r="H659" s="16" t="str">
        <f aca="false">IF($A659&gt;PARAMETROS!$C$33,"",E659*PARAMETROS!$C$39)</f>
        <v/>
      </c>
      <c r="I659" s="16" t="str">
        <f aca="false">IF($A659&gt;PARAMETROS!$C$33,"",G659-H659)</f>
        <v/>
      </c>
      <c r="J659" s="16" t="str">
        <f aca="false">IF($A659&gt;PARAMETROS!$C$33,"",PARAMETROS!$C$9*(1+PARAMETROS!$C$17)^(B659-1))</f>
        <v/>
      </c>
      <c r="K659" s="16" t="str">
        <f aca="false">IF($A659&gt;PARAMETROS!$C$33,"",K658*(1+PARAMETROS!$C$36))</f>
        <v/>
      </c>
      <c r="L659" s="16" t="str">
        <f aca="false">IF($A659&gt;PARAMETROS!$C$33,"",L658*(1+PARAMETROS!$C$37)*(1+M659))</f>
        <v/>
      </c>
      <c r="M659" s="17" t="str">
        <f aca="false">IF($A659&gt;PARAMETROS!$C$33,"",IF(C659&lt;70,PARAMETROS!$C$40,IF(C659&lt;75,PARAMETROS!$C$41,IF(C659&lt;80,PARAMETROS!$C$42,IF(C659&lt;85,PARAMETROS!$C$43,IF(C659&lt;90,PARAMETROS!$C$44,PARAMETROS!$C$45))))))</f>
        <v/>
      </c>
      <c r="N659" s="16" t="str">
        <f aca="false">IF($A659&gt;PARAMETROS!$C$33,"",K659+L659)</f>
        <v/>
      </c>
      <c r="O659" s="16" t="str">
        <f aca="false">IF($A659&gt;PARAMETROS!$C$33,"",I659+J659-N659)</f>
        <v/>
      </c>
      <c r="P659" s="16" t="str">
        <f aca="false">IF($A659&gt;PARAMETROS!$C$33,"",MAX(E659+I659+J659-N659,0))</f>
        <v/>
      </c>
      <c r="Q659" s="18" t="str">
        <f aca="false">IF($A659&gt;PARAMETROS!$C$33,"",IF(P659&lt;=0,"AGOTADO","OK"))</f>
        <v/>
      </c>
    </row>
    <row r="660" customFormat="false" ht="15" hidden="false" customHeight="false" outlineLevel="0" collapsed="false">
      <c r="A660" s="15" t="n">
        <f aca="false">A659+1</f>
        <v>658</v>
      </c>
      <c r="B660" s="15" t="n">
        <f aca="false">IF($A660="","",ROUNDUP($A660/12,0))</f>
        <v>55</v>
      </c>
      <c r="C660" s="15" t="n">
        <f aca="false">IF($A660="","",PARAMETROS!$C$6+INT(($A660-1)/12))</f>
        <v>119</v>
      </c>
      <c r="D660" s="15" t="n">
        <f aca="false">IF($A660="","",MOD($A660-1,12)+1)</f>
        <v>10</v>
      </c>
      <c r="E660" s="16" t="str">
        <f aca="false">IF($A660&gt;PARAMETROS!$C$33,"",P659)</f>
        <v/>
      </c>
      <c r="F660" s="17" t="str">
        <f aca="false">IF($A660&gt;PARAMETROS!$C$33,"",PARAMETROS!$C$38)</f>
        <v/>
      </c>
      <c r="G660" s="16" t="str">
        <f aca="false">IF($A660&gt;PARAMETROS!$C$33,"",E660*F660)</f>
        <v/>
      </c>
      <c r="H660" s="16" t="str">
        <f aca="false">IF($A660&gt;PARAMETROS!$C$33,"",E660*PARAMETROS!$C$39)</f>
        <v/>
      </c>
      <c r="I660" s="16" t="str">
        <f aca="false">IF($A660&gt;PARAMETROS!$C$33,"",G660-H660)</f>
        <v/>
      </c>
      <c r="J660" s="16" t="str">
        <f aca="false">IF($A660&gt;PARAMETROS!$C$33,"",PARAMETROS!$C$9*(1+PARAMETROS!$C$17)^(B660-1))</f>
        <v/>
      </c>
      <c r="K660" s="16" t="str">
        <f aca="false">IF($A660&gt;PARAMETROS!$C$33,"",K659*(1+PARAMETROS!$C$36))</f>
        <v/>
      </c>
      <c r="L660" s="16" t="str">
        <f aca="false">IF($A660&gt;PARAMETROS!$C$33,"",L659*(1+PARAMETROS!$C$37)*(1+M660))</f>
        <v/>
      </c>
      <c r="M660" s="17" t="str">
        <f aca="false">IF($A660&gt;PARAMETROS!$C$33,"",IF(C660&lt;70,PARAMETROS!$C$40,IF(C660&lt;75,PARAMETROS!$C$41,IF(C660&lt;80,PARAMETROS!$C$42,IF(C660&lt;85,PARAMETROS!$C$43,IF(C660&lt;90,PARAMETROS!$C$44,PARAMETROS!$C$45))))))</f>
        <v/>
      </c>
      <c r="N660" s="16" t="str">
        <f aca="false">IF($A660&gt;PARAMETROS!$C$33,"",K660+L660)</f>
        <v/>
      </c>
      <c r="O660" s="16" t="str">
        <f aca="false">IF($A660&gt;PARAMETROS!$C$33,"",I660+J660-N660)</f>
        <v/>
      </c>
      <c r="P660" s="16" t="str">
        <f aca="false">IF($A660&gt;PARAMETROS!$C$33,"",MAX(E660+I660+J660-N660,0))</f>
        <v/>
      </c>
      <c r="Q660" s="18" t="str">
        <f aca="false">IF($A660&gt;PARAMETROS!$C$33,"",IF(P660&lt;=0,"AGOTADO","OK"))</f>
        <v/>
      </c>
    </row>
    <row r="661" customFormat="false" ht="15" hidden="false" customHeight="false" outlineLevel="0" collapsed="false">
      <c r="A661" s="15" t="n">
        <f aca="false">A660+1</f>
        <v>659</v>
      </c>
      <c r="B661" s="15" t="n">
        <f aca="false">IF($A661="","",ROUNDUP($A661/12,0))</f>
        <v>55</v>
      </c>
      <c r="C661" s="15" t="n">
        <f aca="false">IF($A661="","",PARAMETROS!$C$6+INT(($A661-1)/12))</f>
        <v>119</v>
      </c>
      <c r="D661" s="15" t="n">
        <f aca="false">IF($A661="","",MOD($A661-1,12)+1)</f>
        <v>11</v>
      </c>
      <c r="E661" s="16" t="str">
        <f aca="false">IF($A661&gt;PARAMETROS!$C$33,"",P660)</f>
        <v/>
      </c>
      <c r="F661" s="17" t="str">
        <f aca="false">IF($A661&gt;PARAMETROS!$C$33,"",PARAMETROS!$C$38)</f>
        <v/>
      </c>
      <c r="G661" s="16" t="str">
        <f aca="false">IF($A661&gt;PARAMETROS!$C$33,"",E661*F661)</f>
        <v/>
      </c>
      <c r="H661" s="16" t="str">
        <f aca="false">IF($A661&gt;PARAMETROS!$C$33,"",E661*PARAMETROS!$C$39)</f>
        <v/>
      </c>
      <c r="I661" s="16" t="str">
        <f aca="false">IF($A661&gt;PARAMETROS!$C$33,"",G661-H661)</f>
        <v/>
      </c>
      <c r="J661" s="16" t="str">
        <f aca="false">IF($A661&gt;PARAMETROS!$C$33,"",PARAMETROS!$C$9*(1+PARAMETROS!$C$17)^(B661-1))</f>
        <v/>
      </c>
      <c r="K661" s="16" t="str">
        <f aca="false">IF($A661&gt;PARAMETROS!$C$33,"",K660*(1+PARAMETROS!$C$36))</f>
        <v/>
      </c>
      <c r="L661" s="16" t="str">
        <f aca="false">IF($A661&gt;PARAMETROS!$C$33,"",L660*(1+PARAMETROS!$C$37)*(1+M661))</f>
        <v/>
      </c>
      <c r="M661" s="17" t="str">
        <f aca="false">IF($A661&gt;PARAMETROS!$C$33,"",IF(C661&lt;70,PARAMETROS!$C$40,IF(C661&lt;75,PARAMETROS!$C$41,IF(C661&lt;80,PARAMETROS!$C$42,IF(C661&lt;85,PARAMETROS!$C$43,IF(C661&lt;90,PARAMETROS!$C$44,PARAMETROS!$C$45))))))</f>
        <v/>
      </c>
      <c r="N661" s="16" t="str">
        <f aca="false">IF($A661&gt;PARAMETROS!$C$33,"",K661+L661)</f>
        <v/>
      </c>
      <c r="O661" s="16" t="str">
        <f aca="false">IF($A661&gt;PARAMETROS!$C$33,"",I661+J661-N661)</f>
        <v/>
      </c>
      <c r="P661" s="16" t="str">
        <f aca="false">IF($A661&gt;PARAMETROS!$C$33,"",MAX(E661+I661+J661-N661,0))</f>
        <v/>
      </c>
      <c r="Q661" s="18" t="str">
        <f aca="false">IF($A661&gt;PARAMETROS!$C$33,"",IF(P661&lt;=0,"AGOTADO","OK"))</f>
        <v/>
      </c>
    </row>
    <row r="662" customFormat="false" ht="15" hidden="false" customHeight="false" outlineLevel="0" collapsed="false">
      <c r="A662" s="15" t="n">
        <f aca="false">A661+1</f>
        <v>660</v>
      </c>
      <c r="B662" s="15" t="n">
        <f aca="false">IF($A662="","",ROUNDUP($A662/12,0))</f>
        <v>55</v>
      </c>
      <c r="C662" s="15" t="n">
        <f aca="false">IF($A662="","",PARAMETROS!$C$6+INT(($A662-1)/12))</f>
        <v>119</v>
      </c>
      <c r="D662" s="15" t="n">
        <f aca="false">IF($A662="","",MOD($A662-1,12)+1)</f>
        <v>12</v>
      </c>
      <c r="E662" s="16" t="str">
        <f aca="false">IF($A662&gt;PARAMETROS!$C$33,"",P661)</f>
        <v/>
      </c>
      <c r="F662" s="17" t="str">
        <f aca="false">IF($A662&gt;PARAMETROS!$C$33,"",PARAMETROS!$C$38)</f>
        <v/>
      </c>
      <c r="G662" s="16" t="str">
        <f aca="false">IF($A662&gt;PARAMETROS!$C$33,"",E662*F662)</f>
        <v/>
      </c>
      <c r="H662" s="16" t="str">
        <f aca="false">IF($A662&gt;PARAMETROS!$C$33,"",E662*PARAMETROS!$C$39)</f>
        <v/>
      </c>
      <c r="I662" s="16" t="str">
        <f aca="false">IF($A662&gt;PARAMETROS!$C$33,"",G662-H662)</f>
        <v/>
      </c>
      <c r="J662" s="16" t="str">
        <f aca="false">IF($A662&gt;PARAMETROS!$C$33,"",PARAMETROS!$C$9*(1+PARAMETROS!$C$17)^(B662-1))</f>
        <v/>
      </c>
      <c r="K662" s="16" t="str">
        <f aca="false">IF($A662&gt;PARAMETROS!$C$33,"",K661*(1+PARAMETROS!$C$36))</f>
        <v/>
      </c>
      <c r="L662" s="16" t="str">
        <f aca="false">IF($A662&gt;PARAMETROS!$C$33,"",L661*(1+PARAMETROS!$C$37)*(1+M662))</f>
        <v/>
      </c>
      <c r="M662" s="17" t="str">
        <f aca="false">IF($A662&gt;PARAMETROS!$C$33,"",IF(C662&lt;70,PARAMETROS!$C$40,IF(C662&lt;75,PARAMETROS!$C$41,IF(C662&lt;80,PARAMETROS!$C$42,IF(C662&lt;85,PARAMETROS!$C$43,IF(C662&lt;90,PARAMETROS!$C$44,PARAMETROS!$C$45))))))</f>
        <v/>
      </c>
      <c r="N662" s="16" t="str">
        <f aca="false">IF($A662&gt;PARAMETROS!$C$33,"",K662+L662)</f>
        <v/>
      </c>
      <c r="O662" s="16" t="str">
        <f aca="false">IF($A662&gt;PARAMETROS!$C$33,"",I662+J662-N662)</f>
        <v/>
      </c>
      <c r="P662" s="16" t="str">
        <f aca="false">IF($A662&gt;PARAMETROS!$C$33,"",MAX(E662+I662+J662-N662,0))</f>
        <v/>
      </c>
      <c r="Q662" s="18" t="str">
        <f aca="false">IF($A662&gt;PARAMETROS!$C$33,"",IF(P662&lt;=0,"AGOTADO","OK"))</f>
        <v/>
      </c>
    </row>
    <row r="663" customFormat="false" ht="15" hidden="false" customHeight="false" outlineLevel="0" collapsed="false">
      <c r="A663" s="19" t="n">
        <f aca="false">A662+1</f>
        <v>661</v>
      </c>
      <c r="B663" s="19" t="n">
        <f aca="false">IF($A663="","",ROUNDUP($A663/12,0))</f>
        <v>56</v>
      </c>
      <c r="C663" s="19" t="n">
        <f aca="false">IF($A663="","",PARAMETROS!$C$6+INT(($A663-1)/12))</f>
        <v>120</v>
      </c>
      <c r="D663" s="19" t="n">
        <f aca="false">IF($A663="","",MOD($A663-1,12)+1)</f>
        <v>1</v>
      </c>
      <c r="E663" s="20" t="str">
        <f aca="false">IF($A663&gt;PARAMETROS!$C$33,"",P662)</f>
        <v/>
      </c>
      <c r="F663" s="21" t="str">
        <f aca="false">IF($A663&gt;PARAMETROS!$C$33,"",PARAMETROS!$C$38)</f>
        <v/>
      </c>
      <c r="G663" s="20" t="str">
        <f aca="false">IF($A663&gt;PARAMETROS!$C$33,"",E663*F663)</f>
        <v/>
      </c>
      <c r="H663" s="20" t="str">
        <f aca="false">IF($A663&gt;PARAMETROS!$C$33,"",E663*PARAMETROS!$C$39)</f>
        <v/>
      </c>
      <c r="I663" s="20" t="str">
        <f aca="false">IF($A663&gt;PARAMETROS!$C$33,"",G663-H663)</f>
        <v/>
      </c>
      <c r="J663" s="20" t="str">
        <f aca="false">IF($A663&gt;PARAMETROS!$C$33,"",PARAMETROS!$C$9*(1+PARAMETROS!$C$17)^(B663-1))</f>
        <v/>
      </c>
      <c r="K663" s="20" t="str">
        <f aca="false">IF($A663&gt;PARAMETROS!$C$33,"",K662*(1+PARAMETROS!$C$36))</f>
        <v/>
      </c>
      <c r="L663" s="20" t="str">
        <f aca="false">IF($A663&gt;PARAMETROS!$C$33,"",L662*(1+PARAMETROS!$C$37)*(1+M663))</f>
        <v/>
      </c>
      <c r="M663" s="21" t="str">
        <f aca="false">IF($A663&gt;PARAMETROS!$C$33,"",IF(C663&lt;70,PARAMETROS!$C$40,IF(C663&lt;75,PARAMETROS!$C$41,IF(C663&lt;80,PARAMETROS!$C$42,IF(C663&lt;85,PARAMETROS!$C$43,IF(C663&lt;90,PARAMETROS!$C$44,PARAMETROS!$C$45))))))</f>
        <v/>
      </c>
      <c r="N663" s="20" t="str">
        <f aca="false">IF($A663&gt;PARAMETROS!$C$33,"",K663+L663)</f>
        <v/>
      </c>
      <c r="O663" s="20" t="str">
        <f aca="false">IF($A663&gt;PARAMETROS!$C$33,"",I663+J663-N663)</f>
        <v/>
      </c>
      <c r="P663" s="20" t="str">
        <f aca="false">IF($A663&gt;PARAMETROS!$C$33,"",MAX(E663+I663+J663-N663,0))</f>
        <v/>
      </c>
      <c r="Q663" s="22" t="str">
        <f aca="false">IF($A663&gt;PARAMETROS!$C$33,"",IF(P663&lt;=0,"AGOTADO","OK"))</f>
        <v/>
      </c>
    </row>
    <row r="664" customFormat="false" ht="15" hidden="false" customHeight="false" outlineLevel="0" collapsed="false">
      <c r="A664" s="19" t="n">
        <f aca="false">A663+1</f>
        <v>662</v>
      </c>
      <c r="B664" s="19" t="n">
        <f aca="false">IF($A664="","",ROUNDUP($A664/12,0))</f>
        <v>56</v>
      </c>
      <c r="C664" s="19" t="n">
        <f aca="false">IF($A664="","",PARAMETROS!$C$6+INT(($A664-1)/12))</f>
        <v>120</v>
      </c>
      <c r="D664" s="19" t="n">
        <f aca="false">IF($A664="","",MOD($A664-1,12)+1)</f>
        <v>2</v>
      </c>
      <c r="E664" s="20" t="str">
        <f aca="false">IF($A664&gt;PARAMETROS!$C$33,"",P663)</f>
        <v/>
      </c>
      <c r="F664" s="21" t="str">
        <f aca="false">IF($A664&gt;PARAMETROS!$C$33,"",PARAMETROS!$C$38)</f>
        <v/>
      </c>
      <c r="G664" s="20" t="str">
        <f aca="false">IF($A664&gt;PARAMETROS!$C$33,"",E664*F664)</f>
        <v/>
      </c>
      <c r="H664" s="20" t="str">
        <f aca="false">IF($A664&gt;PARAMETROS!$C$33,"",E664*PARAMETROS!$C$39)</f>
        <v/>
      </c>
      <c r="I664" s="20" t="str">
        <f aca="false">IF($A664&gt;PARAMETROS!$C$33,"",G664-H664)</f>
        <v/>
      </c>
      <c r="J664" s="20" t="str">
        <f aca="false">IF($A664&gt;PARAMETROS!$C$33,"",PARAMETROS!$C$9*(1+PARAMETROS!$C$17)^(B664-1))</f>
        <v/>
      </c>
      <c r="K664" s="20" t="str">
        <f aca="false">IF($A664&gt;PARAMETROS!$C$33,"",K663*(1+PARAMETROS!$C$36))</f>
        <v/>
      </c>
      <c r="L664" s="20" t="str">
        <f aca="false">IF($A664&gt;PARAMETROS!$C$33,"",L663*(1+PARAMETROS!$C$37)*(1+M664))</f>
        <v/>
      </c>
      <c r="M664" s="21" t="str">
        <f aca="false">IF($A664&gt;PARAMETROS!$C$33,"",IF(C664&lt;70,PARAMETROS!$C$40,IF(C664&lt;75,PARAMETROS!$C$41,IF(C664&lt;80,PARAMETROS!$C$42,IF(C664&lt;85,PARAMETROS!$C$43,IF(C664&lt;90,PARAMETROS!$C$44,PARAMETROS!$C$45))))))</f>
        <v/>
      </c>
      <c r="N664" s="20" t="str">
        <f aca="false">IF($A664&gt;PARAMETROS!$C$33,"",K664+L664)</f>
        <v/>
      </c>
      <c r="O664" s="20" t="str">
        <f aca="false">IF($A664&gt;PARAMETROS!$C$33,"",I664+J664-N664)</f>
        <v/>
      </c>
      <c r="P664" s="20" t="str">
        <f aca="false">IF($A664&gt;PARAMETROS!$C$33,"",MAX(E664+I664+J664-N664,0))</f>
        <v/>
      </c>
      <c r="Q664" s="22" t="str">
        <f aca="false">IF($A664&gt;PARAMETROS!$C$33,"",IF(P664&lt;=0,"AGOTADO","OK"))</f>
        <v/>
      </c>
    </row>
    <row r="665" customFormat="false" ht="15" hidden="false" customHeight="false" outlineLevel="0" collapsed="false">
      <c r="A665" s="19" t="n">
        <f aca="false">A664+1</f>
        <v>663</v>
      </c>
      <c r="B665" s="19" t="n">
        <f aca="false">IF($A665="","",ROUNDUP($A665/12,0))</f>
        <v>56</v>
      </c>
      <c r="C665" s="19" t="n">
        <f aca="false">IF($A665="","",PARAMETROS!$C$6+INT(($A665-1)/12))</f>
        <v>120</v>
      </c>
      <c r="D665" s="19" t="n">
        <f aca="false">IF($A665="","",MOD($A665-1,12)+1)</f>
        <v>3</v>
      </c>
      <c r="E665" s="20" t="str">
        <f aca="false">IF($A665&gt;PARAMETROS!$C$33,"",P664)</f>
        <v/>
      </c>
      <c r="F665" s="21" t="str">
        <f aca="false">IF($A665&gt;PARAMETROS!$C$33,"",PARAMETROS!$C$38)</f>
        <v/>
      </c>
      <c r="G665" s="20" t="str">
        <f aca="false">IF($A665&gt;PARAMETROS!$C$33,"",E665*F665)</f>
        <v/>
      </c>
      <c r="H665" s="20" t="str">
        <f aca="false">IF($A665&gt;PARAMETROS!$C$33,"",E665*PARAMETROS!$C$39)</f>
        <v/>
      </c>
      <c r="I665" s="20" t="str">
        <f aca="false">IF($A665&gt;PARAMETROS!$C$33,"",G665-H665)</f>
        <v/>
      </c>
      <c r="J665" s="20" t="str">
        <f aca="false">IF($A665&gt;PARAMETROS!$C$33,"",PARAMETROS!$C$9*(1+PARAMETROS!$C$17)^(B665-1))</f>
        <v/>
      </c>
      <c r="K665" s="20" t="str">
        <f aca="false">IF($A665&gt;PARAMETROS!$C$33,"",K664*(1+PARAMETROS!$C$36))</f>
        <v/>
      </c>
      <c r="L665" s="20" t="str">
        <f aca="false">IF($A665&gt;PARAMETROS!$C$33,"",L664*(1+PARAMETROS!$C$37)*(1+M665))</f>
        <v/>
      </c>
      <c r="M665" s="21" t="str">
        <f aca="false">IF($A665&gt;PARAMETROS!$C$33,"",IF(C665&lt;70,PARAMETROS!$C$40,IF(C665&lt;75,PARAMETROS!$C$41,IF(C665&lt;80,PARAMETROS!$C$42,IF(C665&lt;85,PARAMETROS!$C$43,IF(C665&lt;90,PARAMETROS!$C$44,PARAMETROS!$C$45))))))</f>
        <v/>
      </c>
      <c r="N665" s="20" t="str">
        <f aca="false">IF($A665&gt;PARAMETROS!$C$33,"",K665+L665)</f>
        <v/>
      </c>
      <c r="O665" s="20" t="str">
        <f aca="false">IF($A665&gt;PARAMETROS!$C$33,"",I665+J665-N665)</f>
        <v/>
      </c>
      <c r="P665" s="20" t="str">
        <f aca="false">IF($A665&gt;PARAMETROS!$C$33,"",MAX(E665+I665+J665-N665,0))</f>
        <v/>
      </c>
      <c r="Q665" s="22" t="str">
        <f aca="false">IF($A665&gt;PARAMETROS!$C$33,"",IF(P665&lt;=0,"AGOTADO","OK"))</f>
        <v/>
      </c>
    </row>
    <row r="666" customFormat="false" ht="15" hidden="false" customHeight="false" outlineLevel="0" collapsed="false">
      <c r="A666" s="19" t="n">
        <f aca="false">A665+1</f>
        <v>664</v>
      </c>
      <c r="B666" s="19" t="n">
        <f aca="false">IF($A666="","",ROUNDUP($A666/12,0))</f>
        <v>56</v>
      </c>
      <c r="C666" s="19" t="n">
        <f aca="false">IF($A666="","",PARAMETROS!$C$6+INT(($A666-1)/12))</f>
        <v>120</v>
      </c>
      <c r="D666" s="19" t="n">
        <f aca="false">IF($A666="","",MOD($A666-1,12)+1)</f>
        <v>4</v>
      </c>
      <c r="E666" s="20" t="str">
        <f aca="false">IF($A666&gt;PARAMETROS!$C$33,"",P665)</f>
        <v/>
      </c>
      <c r="F666" s="21" t="str">
        <f aca="false">IF($A666&gt;PARAMETROS!$C$33,"",PARAMETROS!$C$38)</f>
        <v/>
      </c>
      <c r="G666" s="20" t="str">
        <f aca="false">IF($A666&gt;PARAMETROS!$C$33,"",E666*F666)</f>
        <v/>
      </c>
      <c r="H666" s="20" t="str">
        <f aca="false">IF($A666&gt;PARAMETROS!$C$33,"",E666*PARAMETROS!$C$39)</f>
        <v/>
      </c>
      <c r="I666" s="20" t="str">
        <f aca="false">IF($A666&gt;PARAMETROS!$C$33,"",G666-H666)</f>
        <v/>
      </c>
      <c r="J666" s="20" t="str">
        <f aca="false">IF($A666&gt;PARAMETROS!$C$33,"",PARAMETROS!$C$9*(1+PARAMETROS!$C$17)^(B666-1))</f>
        <v/>
      </c>
      <c r="K666" s="20" t="str">
        <f aca="false">IF($A666&gt;PARAMETROS!$C$33,"",K665*(1+PARAMETROS!$C$36))</f>
        <v/>
      </c>
      <c r="L666" s="20" t="str">
        <f aca="false">IF($A666&gt;PARAMETROS!$C$33,"",L665*(1+PARAMETROS!$C$37)*(1+M666))</f>
        <v/>
      </c>
      <c r="M666" s="21" t="str">
        <f aca="false">IF($A666&gt;PARAMETROS!$C$33,"",IF(C666&lt;70,PARAMETROS!$C$40,IF(C666&lt;75,PARAMETROS!$C$41,IF(C666&lt;80,PARAMETROS!$C$42,IF(C666&lt;85,PARAMETROS!$C$43,IF(C666&lt;90,PARAMETROS!$C$44,PARAMETROS!$C$45))))))</f>
        <v/>
      </c>
      <c r="N666" s="20" t="str">
        <f aca="false">IF($A666&gt;PARAMETROS!$C$33,"",K666+L666)</f>
        <v/>
      </c>
      <c r="O666" s="20" t="str">
        <f aca="false">IF($A666&gt;PARAMETROS!$C$33,"",I666+J666-N666)</f>
        <v/>
      </c>
      <c r="P666" s="20" t="str">
        <f aca="false">IF($A666&gt;PARAMETROS!$C$33,"",MAX(E666+I666+J666-N666,0))</f>
        <v/>
      </c>
      <c r="Q666" s="22" t="str">
        <f aca="false">IF($A666&gt;PARAMETROS!$C$33,"",IF(P666&lt;=0,"AGOTADO","OK"))</f>
        <v/>
      </c>
    </row>
    <row r="667" customFormat="false" ht="15" hidden="false" customHeight="false" outlineLevel="0" collapsed="false">
      <c r="A667" s="19" t="n">
        <f aca="false">A666+1</f>
        <v>665</v>
      </c>
      <c r="B667" s="19" t="n">
        <f aca="false">IF($A667="","",ROUNDUP($A667/12,0))</f>
        <v>56</v>
      </c>
      <c r="C667" s="19" t="n">
        <f aca="false">IF($A667="","",PARAMETROS!$C$6+INT(($A667-1)/12))</f>
        <v>120</v>
      </c>
      <c r="D667" s="19" t="n">
        <f aca="false">IF($A667="","",MOD($A667-1,12)+1)</f>
        <v>5</v>
      </c>
      <c r="E667" s="20" t="str">
        <f aca="false">IF($A667&gt;PARAMETROS!$C$33,"",P666)</f>
        <v/>
      </c>
      <c r="F667" s="21" t="str">
        <f aca="false">IF($A667&gt;PARAMETROS!$C$33,"",PARAMETROS!$C$38)</f>
        <v/>
      </c>
      <c r="G667" s="20" t="str">
        <f aca="false">IF($A667&gt;PARAMETROS!$C$33,"",E667*F667)</f>
        <v/>
      </c>
      <c r="H667" s="20" t="str">
        <f aca="false">IF($A667&gt;PARAMETROS!$C$33,"",E667*PARAMETROS!$C$39)</f>
        <v/>
      </c>
      <c r="I667" s="20" t="str">
        <f aca="false">IF($A667&gt;PARAMETROS!$C$33,"",G667-H667)</f>
        <v/>
      </c>
      <c r="J667" s="20" t="str">
        <f aca="false">IF($A667&gt;PARAMETROS!$C$33,"",PARAMETROS!$C$9*(1+PARAMETROS!$C$17)^(B667-1))</f>
        <v/>
      </c>
      <c r="K667" s="20" t="str">
        <f aca="false">IF($A667&gt;PARAMETROS!$C$33,"",K666*(1+PARAMETROS!$C$36))</f>
        <v/>
      </c>
      <c r="L667" s="20" t="str">
        <f aca="false">IF($A667&gt;PARAMETROS!$C$33,"",L666*(1+PARAMETROS!$C$37)*(1+M667))</f>
        <v/>
      </c>
      <c r="M667" s="21" t="str">
        <f aca="false">IF($A667&gt;PARAMETROS!$C$33,"",IF(C667&lt;70,PARAMETROS!$C$40,IF(C667&lt;75,PARAMETROS!$C$41,IF(C667&lt;80,PARAMETROS!$C$42,IF(C667&lt;85,PARAMETROS!$C$43,IF(C667&lt;90,PARAMETROS!$C$44,PARAMETROS!$C$45))))))</f>
        <v/>
      </c>
      <c r="N667" s="20" t="str">
        <f aca="false">IF($A667&gt;PARAMETROS!$C$33,"",K667+L667)</f>
        <v/>
      </c>
      <c r="O667" s="20" t="str">
        <f aca="false">IF($A667&gt;PARAMETROS!$C$33,"",I667+J667-N667)</f>
        <v/>
      </c>
      <c r="P667" s="20" t="str">
        <f aca="false">IF($A667&gt;PARAMETROS!$C$33,"",MAX(E667+I667+J667-N667,0))</f>
        <v/>
      </c>
      <c r="Q667" s="22" t="str">
        <f aca="false">IF($A667&gt;PARAMETROS!$C$33,"",IF(P667&lt;=0,"AGOTADO","OK"))</f>
        <v/>
      </c>
    </row>
    <row r="668" customFormat="false" ht="15" hidden="false" customHeight="false" outlineLevel="0" collapsed="false">
      <c r="A668" s="19" t="n">
        <f aca="false">A667+1</f>
        <v>666</v>
      </c>
      <c r="B668" s="19" t="n">
        <f aca="false">IF($A668="","",ROUNDUP($A668/12,0))</f>
        <v>56</v>
      </c>
      <c r="C668" s="19" t="n">
        <f aca="false">IF($A668="","",PARAMETROS!$C$6+INT(($A668-1)/12))</f>
        <v>120</v>
      </c>
      <c r="D668" s="19" t="n">
        <f aca="false">IF($A668="","",MOD($A668-1,12)+1)</f>
        <v>6</v>
      </c>
      <c r="E668" s="20" t="str">
        <f aca="false">IF($A668&gt;PARAMETROS!$C$33,"",P667)</f>
        <v/>
      </c>
      <c r="F668" s="21" t="str">
        <f aca="false">IF($A668&gt;PARAMETROS!$C$33,"",PARAMETROS!$C$38)</f>
        <v/>
      </c>
      <c r="G668" s="20" t="str">
        <f aca="false">IF($A668&gt;PARAMETROS!$C$33,"",E668*F668)</f>
        <v/>
      </c>
      <c r="H668" s="20" t="str">
        <f aca="false">IF($A668&gt;PARAMETROS!$C$33,"",E668*PARAMETROS!$C$39)</f>
        <v/>
      </c>
      <c r="I668" s="20" t="str">
        <f aca="false">IF($A668&gt;PARAMETROS!$C$33,"",G668-H668)</f>
        <v/>
      </c>
      <c r="J668" s="20" t="str">
        <f aca="false">IF($A668&gt;PARAMETROS!$C$33,"",PARAMETROS!$C$9*(1+PARAMETROS!$C$17)^(B668-1))</f>
        <v/>
      </c>
      <c r="K668" s="20" t="str">
        <f aca="false">IF($A668&gt;PARAMETROS!$C$33,"",K667*(1+PARAMETROS!$C$36))</f>
        <v/>
      </c>
      <c r="L668" s="20" t="str">
        <f aca="false">IF($A668&gt;PARAMETROS!$C$33,"",L667*(1+PARAMETROS!$C$37)*(1+M668))</f>
        <v/>
      </c>
      <c r="M668" s="21" t="str">
        <f aca="false">IF($A668&gt;PARAMETROS!$C$33,"",IF(C668&lt;70,PARAMETROS!$C$40,IF(C668&lt;75,PARAMETROS!$C$41,IF(C668&lt;80,PARAMETROS!$C$42,IF(C668&lt;85,PARAMETROS!$C$43,IF(C668&lt;90,PARAMETROS!$C$44,PARAMETROS!$C$45))))))</f>
        <v/>
      </c>
      <c r="N668" s="20" t="str">
        <f aca="false">IF($A668&gt;PARAMETROS!$C$33,"",K668+L668)</f>
        <v/>
      </c>
      <c r="O668" s="20" t="str">
        <f aca="false">IF($A668&gt;PARAMETROS!$C$33,"",I668+J668-N668)</f>
        <v/>
      </c>
      <c r="P668" s="20" t="str">
        <f aca="false">IF($A668&gt;PARAMETROS!$C$33,"",MAX(E668+I668+J668-N668,0))</f>
        <v/>
      </c>
      <c r="Q668" s="22" t="str">
        <f aca="false">IF($A668&gt;PARAMETROS!$C$33,"",IF(P668&lt;=0,"AGOTADO","OK"))</f>
        <v/>
      </c>
    </row>
    <row r="669" customFormat="false" ht="15" hidden="false" customHeight="false" outlineLevel="0" collapsed="false">
      <c r="A669" s="19" t="n">
        <f aca="false">A668+1</f>
        <v>667</v>
      </c>
      <c r="B669" s="19" t="n">
        <f aca="false">IF($A669="","",ROUNDUP($A669/12,0))</f>
        <v>56</v>
      </c>
      <c r="C669" s="19" t="n">
        <f aca="false">IF($A669="","",PARAMETROS!$C$6+INT(($A669-1)/12))</f>
        <v>120</v>
      </c>
      <c r="D669" s="19" t="n">
        <f aca="false">IF($A669="","",MOD($A669-1,12)+1)</f>
        <v>7</v>
      </c>
      <c r="E669" s="20" t="str">
        <f aca="false">IF($A669&gt;PARAMETROS!$C$33,"",P668)</f>
        <v/>
      </c>
      <c r="F669" s="21" t="str">
        <f aca="false">IF($A669&gt;PARAMETROS!$C$33,"",PARAMETROS!$C$38)</f>
        <v/>
      </c>
      <c r="G669" s="20" t="str">
        <f aca="false">IF($A669&gt;PARAMETROS!$C$33,"",E669*F669)</f>
        <v/>
      </c>
      <c r="H669" s="20" t="str">
        <f aca="false">IF($A669&gt;PARAMETROS!$C$33,"",E669*PARAMETROS!$C$39)</f>
        <v/>
      </c>
      <c r="I669" s="20" t="str">
        <f aca="false">IF($A669&gt;PARAMETROS!$C$33,"",G669-H669)</f>
        <v/>
      </c>
      <c r="J669" s="20" t="str">
        <f aca="false">IF($A669&gt;PARAMETROS!$C$33,"",PARAMETROS!$C$9*(1+PARAMETROS!$C$17)^(B669-1))</f>
        <v/>
      </c>
      <c r="K669" s="20" t="str">
        <f aca="false">IF($A669&gt;PARAMETROS!$C$33,"",K668*(1+PARAMETROS!$C$36))</f>
        <v/>
      </c>
      <c r="L669" s="20" t="str">
        <f aca="false">IF($A669&gt;PARAMETROS!$C$33,"",L668*(1+PARAMETROS!$C$37)*(1+M669))</f>
        <v/>
      </c>
      <c r="M669" s="21" t="str">
        <f aca="false">IF($A669&gt;PARAMETROS!$C$33,"",IF(C669&lt;70,PARAMETROS!$C$40,IF(C669&lt;75,PARAMETROS!$C$41,IF(C669&lt;80,PARAMETROS!$C$42,IF(C669&lt;85,PARAMETROS!$C$43,IF(C669&lt;90,PARAMETROS!$C$44,PARAMETROS!$C$45))))))</f>
        <v/>
      </c>
      <c r="N669" s="20" t="str">
        <f aca="false">IF($A669&gt;PARAMETROS!$C$33,"",K669+L669)</f>
        <v/>
      </c>
      <c r="O669" s="20" t="str">
        <f aca="false">IF($A669&gt;PARAMETROS!$C$33,"",I669+J669-N669)</f>
        <v/>
      </c>
      <c r="P669" s="20" t="str">
        <f aca="false">IF($A669&gt;PARAMETROS!$C$33,"",MAX(E669+I669+J669-N669,0))</f>
        <v/>
      </c>
      <c r="Q669" s="22" t="str">
        <f aca="false">IF($A669&gt;PARAMETROS!$C$33,"",IF(P669&lt;=0,"AGOTADO","OK"))</f>
        <v/>
      </c>
    </row>
    <row r="670" customFormat="false" ht="15" hidden="false" customHeight="false" outlineLevel="0" collapsed="false">
      <c r="A670" s="19" t="n">
        <f aca="false">A669+1</f>
        <v>668</v>
      </c>
      <c r="B670" s="19" t="n">
        <f aca="false">IF($A670="","",ROUNDUP($A670/12,0))</f>
        <v>56</v>
      </c>
      <c r="C670" s="19" t="n">
        <f aca="false">IF($A670="","",PARAMETROS!$C$6+INT(($A670-1)/12))</f>
        <v>120</v>
      </c>
      <c r="D670" s="19" t="n">
        <f aca="false">IF($A670="","",MOD($A670-1,12)+1)</f>
        <v>8</v>
      </c>
      <c r="E670" s="20" t="str">
        <f aca="false">IF($A670&gt;PARAMETROS!$C$33,"",P669)</f>
        <v/>
      </c>
      <c r="F670" s="21" t="str">
        <f aca="false">IF($A670&gt;PARAMETROS!$C$33,"",PARAMETROS!$C$38)</f>
        <v/>
      </c>
      <c r="G670" s="20" t="str">
        <f aca="false">IF($A670&gt;PARAMETROS!$C$33,"",E670*F670)</f>
        <v/>
      </c>
      <c r="H670" s="20" t="str">
        <f aca="false">IF($A670&gt;PARAMETROS!$C$33,"",E670*PARAMETROS!$C$39)</f>
        <v/>
      </c>
      <c r="I670" s="20" t="str">
        <f aca="false">IF($A670&gt;PARAMETROS!$C$33,"",G670-H670)</f>
        <v/>
      </c>
      <c r="J670" s="20" t="str">
        <f aca="false">IF($A670&gt;PARAMETROS!$C$33,"",PARAMETROS!$C$9*(1+PARAMETROS!$C$17)^(B670-1))</f>
        <v/>
      </c>
      <c r="K670" s="20" t="str">
        <f aca="false">IF($A670&gt;PARAMETROS!$C$33,"",K669*(1+PARAMETROS!$C$36))</f>
        <v/>
      </c>
      <c r="L670" s="20" t="str">
        <f aca="false">IF($A670&gt;PARAMETROS!$C$33,"",L669*(1+PARAMETROS!$C$37)*(1+M670))</f>
        <v/>
      </c>
      <c r="M670" s="21" t="str">
        <f aca="false">IF($A670&gt;PARAMETROS!$C$33,"",IF(C670&lt;70,PARAMETROS!$C$40,IF(C670&lt;75,PARAMETROS!$C$41,IF(C670&lt;80,PARAMETROS!$C$42,IF(C670&lt;85,PARAMETROS!$C$43,IF(C670&lt;90,PARAMETROS!$C$44,PARAMETROS!$C$45))))))</f>
        <v/>
      </c>
      <c r="N670" s="20" t="str">
        <f aca="false">IF($A670&gt;PARAMETROS!$C$33,"",K670+L670)</f>
        <v/>
      </c>
      <c r="O670" s="20" t="str">
        <f aca="false">IF($A670&gt;PARAMETROS!$C$33,"",I670+J670-N670)</f>
        <v/>
      </c>
      <c r="P670" s="20" t="str">
        <f aca="false">IF($A670&gt;PARAMETROS!$C$33,"",MAX(E670+I670+J670-N670,0))</f>
        <v/>
      </c>
      <c r="Q670" s="22" t="str">
        <f aca="false">IF($A670&gt;PARAMETROS!$C$33,"",IF(P670&lt;=0,"AGOTADO","OK"))</f>
        <v/>
      </c>
    </row>
    <row r="671" customFormat="false" ht="15" hidden="false" customHeight="false" outlineLevel="0" collapsed="false">
      <c r="A671" s="19" t="n">
        <f aca="false">A670+1</f>
        <v>669</v>
      </c>
      <c r="B671" s="19" t="n">
        <f aca="false">IF($A671="","",ROUNDUP($A671/12,0))</f>
        <v>56</v>
      </c>
      <c r="C671" s="19" t="n">
        <f aca="false">IF($A671="","",PARAMETROS!$C$6+INT(($A671-1)/12))</f>
        <v>120</v>
      </c>
      <c r="D671" s="19" t="n">
        <f aca="false">IF($A671="","",MOD($A671-1,12)+1)</f>
        <v>9</v>
      </c>
      <c r="E671" s="20" t="str">
        <f aca="false">IF($A671&gt;PARAMETROS!$C$33,"",P670)</f>
        <v/>
      </c>
      <c r="F671" s="21" t="str">
        <f aca="false">IF($A671&gt;PARAMETROS!$C$33,"",PARAMETROS!$C$38)</f>
        <v/>
      </c>
      <c r="G671" s="20" t="str">
        <f aca="false">IF($A671&gt;PARAMETROS!$C$33,"",E671*F671)</f>
        <v/>
      </c>
      <c r="H671" s="20" t="str">
        <f aca="false">IF($A671&gt;PARAMETROS!$C$33,"",E671*PARAMETROS!$C$39)</f>
        <v/>
      </c>
      <c r="I671" s="20" t="str">
        <f aca="false">IF($A671&gt;PARAMETROS!$C$33,"",G671-H671)</f>
        <v/>
      </c>
      <c r="J671" s="20" t="str">
        <f aca="false">IF($A671&gt;PARAMETROS!$C$33,"",PARAMETROS!$C$9*(1+PARAMETROS!$C$17)^(B671-1))</f>
        <v/>
      </c>
      <c r="K671" s="20" t="str">
        <f aca="false">IF($A671&gt;PARAMETROS!$C$33,"",K670*(1+PARAMETROS!$C$36))</f>
        <v/>
      </c>
      <c r="L671" s="20" t="str">
        <f aca="false">IF($A671&gt;PARAMETROS!$C$33,"",L670*(1+PARAMETROS!$C$37)*(1+M671))</f>
        <v/>
      </c>
      <c r="M671" s="21" t="str">
        <f aca="false">IF($A671&gt;PARAMETROS!$C$33,"",IF(C671&lt;70,PARAMETROS!$C$40,IF(C671&lt;75,PARAMETROS!$C$41,IF(C671&lt;80,PARAMETROS!$C$42,IF(C671&lt;85,PARAMETROS!$C$43,IF(C671&lt;90,PARAMETROS!$C$44,PARAMETROS!$C$45))))))</f>
        <v/>
      </c>
      <c r="N671" s="20" t="str">
        <f aca="false">IF($A671&gt;PARAMETROS!$C$33,"",K671+L671)</f>
        <v/>
      </c>
      <c r="O671" s="20" t="str">
        <f aca="false">IF($A671&gt;PARAMETROS!$C$33,"",I671+J671-N671)</f>
        <v/>
      </c>
      <c r="P671" s="20" t="str">
        <f aca="false">IF($A671&gt;PARAMETROS!$C$33,"",MAX(E671+I671+J671-N671,0))</f>
        <v/>
      </c>
      <c r="Q671" s="22" t="str">
        <f aca="false">IF($A671&gt;PARAMETROS!$C$33,"",IF(P671&lt;=0,"AGOTADO","OK"))</f>
        <v/>
      </c>
    </row>
    <row r="672" customFormat="false" ht="15" hidden="false" customHeight="false" outlineLevel="0" collapsed="false">
      <c r="A672" s="19" t="n">
        <f aca="false">A671+1</f>
        <v>670</v>
      </c>
      <c r="B672" s="19" t="n">
        <f aca="false">IF($A672="","",ROUNDUP($A672/12,0))</f>
        <v>56</v>
      </c>
      <c r="C672" s="19" t="n">
        <f aca="false">IF($A672="","",PARAMETROS!$C$6+INT(($A672-1)/12))</f>
        <v>120</v>
      </c>
      <c r="D672" s="19" t="n">
        <f aca="false">IF($A672="","",MOD($A672-1,12)+1)</f>
        <v>10</v>
      </c>
      <c r="E672" s="20" t="str">
        <f aca="false">IF($A672&gt;PARAMETROS!$C$33,"",P671)</f>
        <v/>
      </c>
      <c r="F672" s="21" t="str">
        <f aca="false">IF($A672&gt;PARAMETROS!$C$33,"",PARAMETROS!$C$38)</f>
        <v/>
      </c>
      <c r="G672" s="20" t="str">
        <f aca="false">IF($A672&gt;PARAMETROS!$C$33,"",E672*F672)</f>
        <v/>
      </c>
      <c r="H672" s="20" t="str">
        <f aca="false">IF($A672&gt;PARAMETROS!$C$33,"",E672*PARAMETROS!$C$39)</f>
        <v/>
      </c>
      <c r="I672" s="20" t="str">
        <f aca="false">IF($A672&gt;PARAMETROS!$C$33,"",G672-H672)</f>
        <v/>
      </c>
      <c r="J672" s="20" t="str">
        <f aca="false">IF($A672&gt;PARAMETROS!$C$33,"",PARAMETROS!$C$9*(1+PARAMETROS!$C$17)^(B672-1))</f>
        <v/>
      </c>
      <c r="K672" s="20" t="str">
        <f aca="false">IF($A672&gt;PARAMETROS!$C$33,"",K671*(1+PARAMETROS!$C$36))</f>
        <v/>
      </c>
      <c r="L672" s="20" t="str">
        <f aca="false">IF($A672&gt;PARAMETROS!$C$33,"",L671*(1+PARAMETROS!$C$37)*(1+M672))</f>
        <v/>
      </c>
      <c r="M672" s="21" t="str">
        <f aca="false">IF($A672&gt;PARAMETROS!$C$33,"",IF(C672&lt;70,PARAMETROS!$C$40,IF(C672&lt;75,PARAMETROS!$C$41,IF(C672&lt;80,PARAMETROS!$C$42,IF(C672&lt;85,PARAMETROS!$C$43,IF(C672&lt;90,PARAMETROS!$C$44,PARAMETROS!$C$45))))))</f>
        <v/>
      </c>
      <c r="N672" s="20" t="str">
        <f aca="false">IF($A672&gt;PARAMETROS!$C$33,"",K672+L672)</f>
        <v/>
      </c>
      <c r="O672" s="20" t="str">
        <f aca="false">IF($A672&gt;PARAMETROS!$C$33,"",I672+J672-N672)</f>
        <v/>
      </c>
      <c r="P672" s="20" t="str">
        <f aca="false">IF($A672&gt;PARAMETROS!$C$33,"",MAX(E672+I672+J672-N672,0))</f>
        <v/>
      </c>
      <c r="Q672" s="22" t="str">
        <f aca="false">IF($A672&gt;PARAMETROS!$C$33,"",IF(P672&lt;=0,"AGOTADO","OK"))</f>
        <v/>
      </c>
    </row>
    <row r="673" customFormat="false" ht="15" hidden="false" customHeight="false" outlineLevel="0" collapsed="false">
      <c r="A673" s="19" t="n">
        <f aca="false">A672+1</f>
        <v>671</v>
      </c>
      <c r="B673" s="19" t="n">
        <f aca="false">IF($A673="","",ROUNDUP($A673/12,0))</f>
        <v>56</v>
      </c>
      <c r="C673" s="19" t="n">
        <f aca="false">IF($A673="","",PARAMETROS!$C$6+INT(($A673-1)/12))</f>
        <v>120</v>
      </c>
      <c r="D673" s="19" t="n">
        <f aca="false">IF($A673="","",MOD($A673-1,12)+1)</f>
        <v>11</v>
      </c>
      <c r="E673" s="20" t="str">
        <f aca="false">IF($A673&gt;PARAMETROS!$C$33,"",P672)</f>
        <v/>
      </c>
      <c r="F673" s="21" t="str">
        <f aca="false">IF($A673&gt;PARAMETROS!$C$33,"",PARAMETROS!$C$38)</f>
        <v/>
      </c>
      <c r="G673" s="20" t="str">
        <f aca="false">IF($A673&gt;PARAMETROS!$C$33,"",E673*F673)</f>
        <v/>
      </c>
      <c r="H673" s="20" t="str">
        <f aca="false">IF($A673&gt;PARAMETROS!$C$33,"",E673*PARAMETROS!$C$39)</f>
        <v/>
      </c>
      <c r="I673" s="20" t="str">
        <f aca="false">IF($A673&gt;PARAMETROS!$C$33,"",G673-H673)</f>
        <v/>
      </c>
      <c r="J673" s="20" t="str">
        <f aca="false">IF($A673&gt;PARAMETROS!$C$33,"",PARAMETROS!$C$9*(1+PARAMETROS!$C$17)^(B673-1))</f>
        <v/>
      </c>
      <c r="K673" s="20" t="str">
        <f aca="false">IF($A673&gt;PARAMETROS!$C$33,"",K672*(1+PARAMETROS!$C$36))</f>
        <v/>
      </c>
      <c r="L673" s="20" t="str">
        <f aca="false">IF($A673&gt;PARAMETROS!$C$33,"",L672*(1+PARAMETROS!$C$37)*(1+M673))</f>
        <v/>
      </c>
      <c r="M673" s="21" t="str">
        <f aca="false">IF($A673&gt;PARAMETROS!$C$33,"",IF(C673&lt;70,PARAMETROS!$C$40,IF(C673&lt;75,PARAMETROS!$C$41,IF(C673&lt;80,PARAMETROS!$C$42,IF(C673&lt;85,PARAMETROS!$C$43,IF(C673&lt;90,PARAMETROS!$C$44,PARAMETROS!$C$45))))))</f>
        <v/>
      </c>
      <c r="N673" s="20" t="str">
        <f aca="false">IF($A673&gt;PARAMETROS!$C$33,"",K673+L673)</f>
        <v/>
      </c>
      <c r="O673" s="20" t="str">
        <f aca="false">IF($A673&gt;PARAMETROS!$C$33,"",I673+J673-N673)</f>
        <v/>
      </c>
      <c r="P673" s="20" t="str">
        <f aca="false">IF($A673&gt;PARAMETROS!$C$33,"",MAX(E673+I673+J673-N673,0))</f>
        <v/>
      </c>
      <c r="Q673" s="22" t="str">
        <f aca="false">IF($A673&gt;PARAMETROS!$C$33,"",IF(P673&lt;=0,"AGOTADO","OK"))</f>
        <v/>
      </c>
    </row>
    <row r="674" customFormat="false" ht="15" hidden="false" customHeight="false" outlineLevel="0" collapsed="false">
      <c r="A674" s="19" t="n">
        <f aca="false">A673+1</f>
        <v>672</v>
      </c>
      <c r="B674" s="19" t="n">
        <f aca="false">IF($A674="","",ROUNDUP($A674/12,0))</f>
        <v>56</v>
      </c>
      <c r="C674" s="19" t="n">
        <f aca="false">IF($A674="","",PARAMETROS!$C$6+INT(($A674-1)/12))</f>
        <v>120</v>
      </c>
      <c r="D674" s="19" t="n">
        <f aca="false">IF($A674="","",MOD($A674-1,12)+1)</f>
        <v>12</v>
      </c>
      <c r="E674" s="20" t="str">
        <f aca="false">IF($A674&gt;PARAMETROS!$C$33,"",P673)</f>
        <v/>
      </c>
      <c r="F674" s="21" t="str">
        <f aca="false">IF($A674&gt;PARAMETROS!$C$33,"",PARAMETROS!$C$38)</f>
        <v/>
      </c>
      <c r="G674" s="20" t="str">
        <f aca="false">IF($A674&gt;PARAMETROS!$C$33,"",E674*F674)</f>
        <v/>
      </c>
      <c r="H674" s="20" t="str">
        <f aca="false">IF($A674&gt;PARAMETROS!$C$33,"",E674*PARAMETROS!$C$39)</f>
        <v/>
      </c>
      <c r="I674" s="20" t="str">
        <f aca="false">IF($A674&gt;PARAMETROS!$C$33,"",G674-H674)</f>
        <v/>
      </c>
      <c r="J674" s="20" t="str">
        <f aca="false">IF($A674&gt;PARAMETROS!$C$33,"",PARAMETROS!$C$9*(1+PARAMETROS!$C$17)^(B674-1))</f>
        <v/>
      </c>
      <c r="K674" s="20" t="str">
        <f aca="false">IF($A674&gt;PARAMETROS!$C$33,"",K673*(1+PARAMETROS!$C$36))</f>
        <v/>
      </c>
      <c r="L674" s="20" t="str">
        <f aca="false">IF($A674&gt;PARAMETROS!$C$33,"",L673*(1+PARAMETROS!$C$37)*(1+M674))</f>
        <v/>
      </c>
      <c r="M674" s="21" t="str">
        <f aca="false">IF($A674&gt;PARAMETROS!$C$33,"",IF(C674&lt;70,PARAMETROS!$C$40,IF(C674&lt;75,PARAMETROS!$C$41,IF(C674&lt;80,PARAMETROS!$C$42,IF(C674&lt;85,PARAMETROS!$C$43,IF(C674&lt;90,PARAMETROS!$C$44,PARAMETROS!$C$45))))))</f>
        <v/>
      </c>
      <c r="N674" s="20" t="str">
        <f aca="false">IF($A674&gt;PARAMETROS!$C$33,"",K674+L674)</f>
        <v/>
      </c>
      <c r="O674" s="20" t="str">
        <f aca="false">IF($A674&gt;PARAMETROS!$C$33,"",I674+J674-N674)</f>
        <v/>
      </c>
      <c r="P674" s="20" t="str">
        <f aca="false">IF($A674&gt;PARAMETROS!$C$33,"",MAX(E674+I674+J674-N674,0))</f>
        <v/>
      </c>
      <c r="Q674" s="22" t="str">
        <f aca="false">IF($A674&gt;PARAMETROS!$C$33,"",IF(P674&lt;=0,"AGOTADO","OK"))</f>
        <v/>
      </c>
    </row>
    <row r="675" customFormat="false" ht="15" hidden="false" customHeight="false" outlineLevel="0" collapsed="false">
      <c r="A675" s="15" t="n">
        <f aca="false">A674+1</f>
        <v>673</v>
      </c>
      <c r="B675" s="15" t="n">
        <f aca="false">IF($A675="","",ROUNDUP($A675/12,0))</f>
        <v>57</v>
      </c>
      <c r="C675" s="15" t="n">
        <f aca="false">IF($A675="","",PARAMETROS!$C$6+INT(($A675-1)/12))</f>
        <v>121</v>
      </c>
      <c r="D675" s="15" t="n">
        <f aca="false">IF($A675="","",MOD($A675-1,12)+1)</f>
        <v>1</v>
      </c>
      <c r="E675" s="16" t="str">
        <f aca="false">IF($A675&gt;PARAMETROS!$C$33,"",P674)</f>
        <v/>
      </c>
      <c r="F675" s="17" t="str">
        <f aca="false">IF($A675&gt;PARAMETROS!$C$33,"",PARAMETROS!$C$38)</f>
        <v/>
      </c>
      <c r="G675" s="16" t="str">
        <f aca="false">IF($A675&gt;PARAMETROS!$C$33,"",E675*F675)</f>
        <v/>
      </c>
      <c r="H675" s="16" t="str">
        <f aca="false">IF($A675&gt;PARAMETROS!$C$33,"",E675*PARAMETROS!$C$39)</f>
        <v/>
      </c>
      <c r="I675" s="16" t="str">
        <f aca="false">IF($A675&gt;PARAMETROS!$C$33,"",G675-H675)</f>
        <v/>
      </c>
      <c r="J675" s="16" t="str">
        <f aca="false">IF($A675&gt;PARAMETROS!$C$33,"",PARAMETROS!$C$9*(1+PARAMETROS!$C$17)^(B675-1))</f>
        <v/>
      </c>
      <c r="K675" s="16" t="str">
        <f aca="false">IF($A675&gt;PARAMETROS!$C$33,"",K674*(1+PARAMETROS!$C$36))</f>
        <v/>
      </c>
      <c r="L675" s="16" t="str">
        <f aca="false">IF($A675&gt;PARAMETROS!$C$33,"",L674*(1+PARAMETROS!$C$37)*(1+M675))</f>
        <v/>
      </c>
      <c r="M675" s="17" t="str">
        <f aca="false">IF($A675&gt;PARAMETROS!$C$33,"",IF(C675&lt;70,PARAMETROS!$C$40,IF(C675&lt;75,PARAMETROS!$C$41,IF(C675&lt;80,PARAMETROS!$C$42,IF(C675&lt;85,PARAMETROS!$C$43,IF(C675&lt;90,PARAMETROS!$C$44,PARAMETROS!$C$45))))))</f>
        <v/>
      </c>
      <c r="N675" s="16" t="str">
        <f aca="false">IF($A675&gt;PARAMETROS!$C$33,"",K675+L675)</f>
        <v/>
      </c>
      <c r="O675" s="16" t="str">
        <f aca="false">IF($A675&gt;PARAMETROS!$C$33,"",I675+J675-N675)</f>
        <v/>
      </c>
      <c r="P675" s="16" t="str">
        <f aca="false">IF($A675&gt;PARAMETROS!$C$33,"",MAX(E675+I675+J675-N675,0))</f>
        <v/>
      </c>
      <c r="Q675" s="18" t="str">
        <f aca="false">IF($A675&gt;PARAMETROS!$C$33,"",IF(P675&lt;=0,"AGOTADO","OK"))</f>
        <v/>
      </c>
    </row>
    <row r="676" customFormat="false" ht="15" hidden="false" customHeight="false" outlineLevel="0" collapsed="false">
      <c r="A676" s="15" t="n">
        <f aca="false">A675+1</f>
        <v>674</v>
      </c>
      <c r="B676" s="15" t="n">
        <f aca="false">IF($A676="","",ROUNDUP($A676/12,0))</f>
        <v>57</v>
      </c>
      <c r="C676" s="15" t="n">
        <f aca="false">IF($A676="","",PARAMETROS!$C$6+INT(($A676-1)/12))</f>
        <v>121</v>
      </c>
      <c r="D676" s="15" t="n">
        <f aca="false">IF($A676="","",MOD($A676-1,12)+1)</f>
        <v>2</v>
      </c>
      <c r="E676" s="16" t="str">
        <f aca="false">IF($A676&gt;PARAMETROS!$C$33,"",P675)</f>
        <v/>
      </c>
      <c r="F676" s="17" t="str">
        <f aca="false">IF($A676&gt;PARAMETROS!$C$33,"",PARAMETROS!$C$38)</f>
        <v/>
      </c>
      <c r="G676" s="16" t="str">
        <f aca="false">IF($A676&gt;PARAMETROS!$C$33,"",E676*F676)</f>
        <v/>
      </c>
      <c r="H676" s="16" t="str">
        <f aca="false">IF($A676&gt;PARAMETROS!$C$33,"",E676*PARAMETROS!$C$39)</f>
        <v/>
      </c>
      <c r="I676" s="16" t="str">
        <f aca="false">IF($A676&gt;PARAMETROS!$C$33,"",G676-H676)</f>
        <v/>
      </c>
      <c r="J676" s="16" t="str">
        <f aca="false">IF($A676&gt;PARAMETROS!$C$33,"",PARAMETROS!$C$9*(1+PARAMETROS!$C$17)^(B676-1))</f>
        <v/>
      </c>
      <c r="K676" s="16" t="str">
        <f aca="false">IF($A676&gt;PARAMETROS!$C$33,"",K675*(1+PARAMETROS!$C$36))</f>
        <v/>
      </c>
      <c r="L676" s="16" t="str">
        <f aca="false">IF($A676&gt;PARAMETROS!$C$33,"",L675*(1+PARAMETROS!$C$37)*(1+M676))</f>
        <v/>
      </c>
      <c r="M676" s="17" t="str">
        <f aca="false">IF($A676&gt;PARAMETROS!$C$33,"",IF(C676&lt;70,PARAMETROS!$C$40,IF(C676&lt;75,PARAMETROS!$C$41,IF(C676&lt;80,PARAMETROS!$C$42,IF(C676&lt;85,PARAMETROS!$C$43,IF(C676&lt;90,PARAMETROS!$C$44,PARAMETROS!$C$45))))))</f>
        <v/>
      </c>
      <c r="N676" s="16" t="str">
        <f aca="false">IF($A676&gt;PARAMETROS!$C$33,"",K676+L676)</f>
        <v/>
      </c>
      <c r="O676" s="16" t="str">
        <f aca="false">IF($A676&gt;PARAMETROS!$C$33,"",I676+J676-N676)</f>
        <v/>
      </c>
      <c r="P676" s="16" t="str">
        <f aca="false">IF($A676&gt;PARAMETROS!$C$33,"",MAX(E676+I676+J676-N676,0))</f>
        <v/>
      </c>
      <c r="Q676" s="18" t="str">
        <f aca="false">IF($A676&gt;PARAMETROS!$C$33,"",IF(P676&lt;=0,"AGOTADO","OK"))</f>
        <v/>
      </c>
    </row>
    <row r="677" customFormat="false" ht="15" hidden="false" customHeight="false" outlineLevel="0" collapsed="false">
      <c r="A677" s="15" t="n">
        <f aca="false">A676+1</f>
        <v>675</v>
      </c>
      <c r="B677" s="15" t="n">
        <f aca="false">IF($A677="","",ROUNDUP($A677/12,0))</f>
        <v>57</v>
      </c>
      <c r="C677" s="15" t="n">
        <f aca="false">IF($A677="","",PARAMETROS!$C$6+INT(($A677-1)/12))</f>
        <v>121</v>
      </c>
      <c r="D677" s="15" t="n">
        <f aca="false">IF($A677="","",MOD($A677-1,12)+1)</f>
        <v>3</v>
      </c>
      <c r="E677" s="16" t="str">
        <f aca="false">IF($A677&gt;PARAMETROS!$C$33,"",P676)</f>
        <v/>
      </c>
      <c r="F677" s="17" t="str">
        <f aca="false">IF($A677&gt;PARAMETROS!$C$33,"",PARAMETROS!$C$38)</f>
        <v/>
      </c>
      <c r="G677" s="16" t="str">
        <f aca="false">IF($A677&gt;PARAMETROS!$C$33,"",E677*F677)</f>
        <v/>
      </c>
      <c r="H677" s="16" t="str">
        <f aca="false">IF($A677&gt;PARAMETROS!$C$33,"",E677*PARAMETROS!$C$39)</f>
        <v/>
      </c>
      <c r="I677" s="16" t="str">
        <f aca="false">IF($A677&gt;PARAMETROS!$C$33,"",G677-H677)</f>
        <v/>
      </c>
      <c r="J677" s="16" t="str">
        <f aca="false">IF($A677&gt;PARAMETROS!$C$33,"",PARAMETROS!$C$9*(1+PARAMETROS!$C$17)^(B677-1))</f>
        <v/>
      </c>
      <c r="K677" s="16" t="str">
        <f aca="false">IF($A677&gt;PARAMETROS!$C$33,"",K676*(1+PARAMETROS!$C$36))</f>
        <v/>
      </c>
      <c r="L677" s="16" t="str">
        <f aca="false">IF($A677&gt;PARAMETROS!$C$33,"",L676*(1+PARAMETROS!$C$37)*(1+M677))</f>
        <v/>
      </c>
      <c r="M677" s="17" t="str">
        <f aca="false">IF($A677&gt;PARAMETROS!$C$33,"",IF(C677&lt;70,PARAMETROS!$C$40,IF(C677&lt;75,PARAMETROS!$C$41,IF(C677&lt;80,PARAMETROS!$C$42,IF(C677&lt;85,PARAMETROS!$C$43,IF(C677&lt;90,PARAMETROS!$C$44,PARAMETROS!$C$45))))))</f>
        <v/>
      </c>
      <c r="N677" s="16" t="str">
        <f aca="false">IF($A677&gt;PARAMETROS!$C$33,"",K677+L677)</f>
        <v/>
      </c>
      <c r="O677" s="16" t="str">
        <f aca="false">IF($A677&gt;PARAMETROS!$C$33,"",I677+J677-N677)</f>
        <v/>
      </c>
      <c r="P677" s="16" t="str">
        <f aca="false">IF($A677&gt;PARAMETROS!$C$33,"",MAX(E677+I677+J677-N677,0))</f>
        <v/>
      </c>
      <c r="Q677" s="18" t="str">
        <f aca="false">IF($A677&gt;PARAMETROS!$C$33,"",IF(P677&lt;=0,"AGOTADO","OK"))</f>
        <v/>
      </c>
    </row>
    <row r="678" customFormat="false" ht="15" hidden="false" customHeight="false" outlineLevel="0" collapsed="false">
      <c r="A678" s="15" t="n">
        <f aca="false">A677+1</f>
        <v>676</v>
      </c>
      <c r="B678" s="15" t="n">
        <f aca="false">IF($A678="","",ROUNDUP($A678/12,0))</f>
        <v>57</v>
      </c>
      <c r="C678" s="15" t="n">
        <f aca="false">IF($A678="","",PARAMETROS!$C$6+INT(($A678-1)/12))</f>
        <v>121</v>
      </c>
      <c r="D678" s="15" t="n">
        <f aca="false">IF($A678="","",MOD($A678-1,12)+1)</f>
        <v>4</v>
      </c>
      <c r="E678" s="16" t="str">
        <f aca="false">IF($A678&gt;PARAMETROS!$C$33,"",P677)</f>
        <v/>
      </c>
      <c r="F678" s="17" t="str">
        <f aca="false">IF($A678&gt;PARAMETROS!$C$33,"",PARAMETROS!$C$38)</f>
        <v/>
      </c>
      <c r="G678" s="16" t="str">
        <f aca="false">IF($A678&gt;PARAMETROS!$C$33,"",E678*F678)</f>
        <v/>
      </c>
      <c r="H678" s="16" t="str">
        <f aca="false">IF($A678&gt;PARAMETROS!$C$33,"",E678*PARAMETROS!$C$39)</f>
        <v/>
      </c>
      <c r="I678" s="16" t="str">
        <f aca="false">IF($A678&gt;PARAMETROS!$C$33,"",G678-H678)</f>
        <v/>
      </c>
      <c r="J678" s="16" t="str">
        <f aca="false">IF($A678&gt;PARAMETROS!$C$33,"",PARAMETROS!$C$9*(1+PARAMETROS!$C$17)^(B678-1))</f>
        <v/>
      </c>
      <c r="K678" s="16" t="str">
        <f aca="false">IF($A678&gt;PARAMETROS!$C$33,"",K677*(1+PARAMETROS!$C$36))</f>
        <v/>
      </c>
      <c r="L678" s="16" t="str">
        <f aca="false">IF($A678&gt;PARAMETROS!$C$33,"",L677*(1+PARAMETROS!$C$37)*(1+M678))</f>
        <v/>
      </c>
      <c r="M678" s="17" t="str">
        <f aca="false">IF($A678&gt;PARAMETROS!$C$33,"",IF(C678&lt;70,PARAMETROS!$C$40,IF(C678&lt;75,PARAMETROS!$C$41,IF(C678&lt;80,PARAMETROS!$C$42,IF(C678&lt;85,PARAMETROS!$C$43,IF(C678&lt;90,PARAMETROS!$C$44,PARAMETROS!$C$45))))))</f>
        <v/>
      </c>
      <c r="N678" s="16" t="str">
        <f aca="false">IF($A678&gt;PARAMETROS!$C$33,"",K678+L678)</f>
        <v/>
      </c>
      <c r="O678" s="16" t="str">
        <f aca="false">IF($A678&gt;PARAMETROS!$C$33,"",I678+J678-N678)</f>
        <v/>
      </c>
      <c r="P678" s="16" t="str">
        <f aca="false">IF($A678&gt;PARAMETROS!$C$33,"",MAX(E678+I678+J678-N678,0))</f>
        <v/>
      </c>
      <c r="Q678" s="18" t="str">
        <f aca="false">IF($A678&gt;PARAMETROS!$C$33,"",IF(P678&lt;=0,"AGOTADO","OK"))</f>
        <v/>
      </c>
    </row>
    <row r="679" customFormat="false" ht="15" hidden="false" customHeight="false" outlineLevel="0" collapsed="false">
      <c r="A679" s="15" t="n">
        <f aca="false">A678+1</f>
        <v>677</v>
      </c>
      <c r="B679" s="15" t="n">
        <f aca="false">IF($A679="","",ROUNDUP($A679/12,0))</f>
        <v>57</v>
      </c>
      <c r="C679" s="15" t="n">
        <f aca="false">IF($A679="","",PARAMETROS!$C$6+INT(($A679-1)/12))</f>
        <v>121</v>
      </c>
      <c r="D679" s="15" t="n">
        <f aca="false">IF($A679="","",MOD($A679-1,12)+1)</f>
        <v>5</v>
      </c>
      <c r="E679" s="16" t="str">
        <f aca="false">IF($A679&gt;PARAMETROS!$C$33,"",P678)</f>
        <v/>
      </c>
      <c r="F679" s="17" t="str">
        <f aca="false">IF($A679&gt;PARAMETROS!$C$33,"",PARAMETROS!$C$38)</f>
        <v/>
      </c>
      <c r="G679" s="16" t="str">
        <f aca="false">IF($A679&gt;PARAMETROS!$C$33,"",E679*F679)</f>
        <v/>
      </c>
      <c r="H679" s="16" t="str">
        <f aca="false">IF($A679&gt;PARAMETROS!$C$33,"",E679*PARAMETROS!$C$39)</f>
        <v/>
      </c>
      <c r="I679" s="16" t="str">
        <f aca="false">IF($A679&gt;PARAMETROS!$C$33,"",G679-H679)</f>
        <v/>
      </c>
      <c r="J679" s="16" t="str">
        <f aca="false">IF($A679&gt;PARAMETROS!$C$33,"",PARAMETROS!$C$9*(1+PARAMETROS!$C$17)^(B679-1))</f>
        <v/>
      </c>
      <c r="K679" s="16" t="str">
        <f aca="false">IF($A679&gt;PARAMETROS!$C$33,"",K678*(1+PARAMETROS!$C$36))</f>
        <v/>
      </c>
      <c r="L679" s="16" t="str">
        <f aca="false">IF($A679&gt;PARAMETROS!$C$33,"",L678*(1+PARAMETROS!$C$37)*(1+M679))</f>
        <v/>
      </c>
      <c r="M679" s="17" t="str">
        <f aca="false">IF($A679&gt;PARAMETROS!$C$33,"",IF(C679&lt;70,PARAMETROS!$C$40,IF(C679&lt;75,PARAMETROS!$C$41,IF(C679&lt;80,PARAMETROS!$C$42,IF(C679&lt;85,PARAMETROS!$C$43,IF(C679&lt;90,PARAMETROS!$C$44,PARAMETROS!$C$45))))))</f>
        <v/>
      </c>
      <c r="N679" s="16" t="str">
        <f aca="false">IF($A679&gt;PARAMETROS!$C$33,"",K679+L679)</f>
        <v/>
      </c>
      <c r="O679" s="16" t="str">
        <f aca="false">IF($A679&gt;PARAMETROS!$C$33,"",I679+J679-N679)</f>
        <v/>
      </c>
      <c r="P679" s="16" t="str">
        <f aca="false">IF($A679&gt;PARAMETROS!$C$33,"",MAX(E679+I679+J679-N679,0))</f>
        <v/>
      </c>
      <c r="Q679" s="18" t="str">
        <f aca="false">IF($A679&gt;PARAMETROS!$C$33,"",IF(P679&lt;=0,"AGOTADO","OK"))</f>
        <v/>
      </c>
    </row>
    <row r="680" customFormat="false" ht="15" hidden="false" customHeight="false" outlineLevel="0" collapsed="false">
      <c r="A680" s="15" t="n">
        <f aca="false">A679+1</f>
        <v>678</v>
      </c>
      <c r="B680" s="15" t="n">
        <f aca="false">IF($A680="","",ROUNDUP($A680/12,0))</f>
        <v>57</v>
      </c>
      <c r="C680" s="15" t="n">
        <f aca="false">IF($A680="","",PARAMETROS!$C$6+INT(($A680-1)/12))</f>
        <v>121</v>
      </c>
      <c r="D680" s="15" t="n">
        <f aca="false">IF($A680="","",MOD($A680-1,12)+1)</f>
        <v>6</v>
      </c>
      <c r="E680" s="16" t="str">
        <f aca="false">IF($A680&gt;PARAMETROS!$C$33,"",P679)</f>
        <v/>
      </c>
      <c r="F680" s="17" t="str">
        <f aca="false">IF($A680&gt;PARAMETROS!$C$33,"",PARAMETROS!$C$38)</f>
        <v/>
      </c>
      <c r="G680" s="16" t="str">
        <f aca="false">IF($A680&gt;PARAMETROS!$C$33,"",E680*F680)</f>
        <v/>
      </c>
      <c r="H680" s="16" t="str">
        <f aca="false">IF($A680&gt;PARAMETROS!$C$33,"",E680*PARAMETROS!$C$39)</f>
        <v/>
      </c>
      <c r="I680" s="16" t="str">
        <f aca="false">IF($A680&gt;PARAMETROS!$C$33,"",G680-H680)</f>
        <v/>
      </c>
      <c r="J680" s="16" t="str">
        <f aca="false">IF($A680&gt;PARAMETROS!$C$33,"",PARAMETROS!$C$9*(1+PARAMETROS!$C$17)^(B680-1))</f>
        <v/>
      </c>
      <c r="K680" s="16" t="str">
        <f aca="false">IF($A680&gt;PARAMETROS!$C$33,"",K679*(1+PARAMETROS!$C$36))</f>
        <v/>
      </c>
      <c r="L680" s="16" t="str">
        <f aca="false">IF($A680&gt;PARAMETROS!$C$33,"",L679*(1+PARAMETROS!$C$37)*(1+M680))</f>
        <v/>
      </c>
      <c r="M680" s="17" t="str">
        <f aca="false">IF($A680&gt;PARAMETROS!$C$33,"",IF(C680&lt;70,PARAMETROS!$C$40,IF(C680&lt;75,PARAMETROS!$C$41,IF(C680&lt;80,PARAMETROS!$C$42,IF(C680&lt;85,PARAMETROS!$C$43,IF(C680&lt;90,PARAMETROS!$C$44,PARAMETROS!$C$45))))))</f>
        <v/>
      </c>
      <c r="N680" s="16" t="str">
        <f aca="false">IF($A680&gt;PARAMETROS!$C$33,"",K680+L680)</f>
        <v/>
      </c>
      <c r="O680" s="16" t="str">
        <f aca="false">IF($A680&gt;PARAMETROS!$C$33,"",I680+J680-N680)</f>
        <v/>
      </c>
      <c r="P680" s="16" t="str">
        <f aca="false">IF($A680&gt;PARAMETROS!$C$33,"",MAX(E680+I680+J680-N680,0))</f>
        <v/>
      </c>
      <c r="Q680" s="18" t="str">
        <f aca="false">IF($A680&gt;PARAMETROS!$C$33,"",IF(P680&lt;=0,"AGOTADO","OK"))</f>
        <v/>
      </c>
    </row>
    <row r="681" customFormat="false" ht="15" hidden="false" customHeight="false" outlineLevel="0" collapsed="false">
      <c r="A681" s="15" t="n">
        <f aca="false">A680+1</f>
        <v>679</v>
      </c>
      <c r="B681" s="15" t="n">
        <f aca="false">IF($A681="","",ROUNDUP($A681/12,0))</f>
        <v>57</v>
      </c>
      <c r="C681" s="15" t="n">
        <f aca="false">IF($A681="","",PARAMETROS!$C$6+INT(($A681-1)/12))</f>
        <v>121</v>
      </c>
      <c r="D681" s="15" t="n">
        <f aca="false">IF($A681="","",MOD($A681-1,12)+1)</f>
        <v>7</v>
      </c>
      <c r="E681" s="16" t="str">
        <f aca="false">IF($A681&gt;PARAMETROS!$C$33,"",P680)</f>
        <v/>
      </c>
      <c r="F681" s="17" t="str">
        <f aca="false">IF($A681&gt;PARAMETROS!$C$33,"",PARAMETROS!$C$38)</f>
        <v/>
      </c>
      <c r="G681" s="16" t="str">
        <f aca="false">IF($A681&gt;PARAMETROS!$C$33,"",E681*F681)</f>
        <v/>
      </c>
      <c r="H681" s="16" t="str">
        <f aca="false">IF($A681&gt;PARAMETROS!$C$33,"",E681*PARAMETROS!$C$39)</f>
        <v/>
      </c>
      <c r="I681" s="16" t="str">
        <f aca="false">IF($A681&gt;PARAMETROS!$C$33,"",G681-H681)</f>
        <v/>
      </c>
      <c r="J681" s="16" t="str">
        <f aca="false">IF($A681&gt;PARAMETROS!$C$33,"",PARAMETROS!$C$9*(1+PARAMETROS!$C$17)^(B681-1))</f>
        <v/>
      </c>
      <c r="K681" s="16" t="str">
        <f aca="false">IF($A681&gt;PARAMETROS!$C$33,"",K680*(1+PARAMETROS!$C$36))</f>
        <v/>
      </c>
      <c r="L681" s="16" t="str">
        <f aca="false">IF($A681&gt;PARAMETROS!$C$33,"",L680*(1+PARAMETROS!$C$37)*(1+M681))</f>
        <v/>
      </c>
      <c r="M681" s="17" t="str">
        <f aca="false">IF($A681&gt;PARAMETROS!$C$33,"",IF(C681&lt;70,PARAMETROS!$C$40,IF(C681&lt;75,PARAMETROS!$C$41,IF(C681&lt;80,PARAMETROS!$C$42,IF(C681&lt;85,PARAMETROS!$C$43,IF(C681&lt;90,PARAMETROS!$C$44,PARAMETROS!$C$45))))))</f>
        <v/>
      </c>
      <c r="N681" s="16" t="str">
        <f aca="false">IF($A681&gt;PARAMETROS!$C$33,"",K681+L681)</f>
        <v/>
      </c>
      <c r="O681" s="16" t="str">
        <f aca="false">IF($A681&gt;PARAMETROS!$C$33,"",I681+J681-N681)</f>
        <v/>
      </c>
      <c r="P681" s="16" t="str">
        <f aca="false">IF($A681&gt;PARAMETROS!$C$33,"",MAX(E681+I681+J681-N681,0))</f>
        <v/>
      </c>
      <c r="Q681" s="18" t="str">
        <f aca="false">IF($A681&gt;PARAMETROS!$C$33,"",IF(P681&lt;=0,"AGOTADO","OK"))</f>
        <v/>
      </c>
    </row>
    <row r="682" customFormat="false" ht="15" hidden="false" customHeight="false" outlineLevel="0" collapsed="false">
      <c r="A682" s="15" t="n">
        <f aca="false">A681+1</f>
        <v>680</v>
      </c>
      <c r="B682" s="15" t="n">
        <f aca="false">IF($A682="","",ROUNDUP($A682/12,0))</f>
        <v>57</v>
      </c>
      <c r="C682" s="15" t="n">
        <f aca="false">IF($A682="","",PARAMETROS!$C$6+INT(($A682-1)/12))</f>
        <v>121</v>
      </c>
      <c r="D682" s="15" t="n">
        <f aca="false">IF($A682="","",MOD($A682-1,12)+1)</f>
        <v>8</v>
      </c>
      <c r="E682" s="16" t="str">
        <f aca="false">IF($A682&gt;PARAMETROS!$C$33,"",P681)</f>
        <v/>
      </c>
      <c r="F682" s="17" t="str">
        <f aca="false">IF($A682&gt;PARAMETROS!$C$33,"",PARAMETROS!$C$38)</f>
        <v/>
      </c>
      <c r="G682" s="16" t="str">
        <f aca="false">IF($A682&gt;PARAMETROS!$C$33,"",E682*F682)</f>
        <v/>
      </c>
      <c r="H682" s="16" t="str">
        <f aca="false">IF($A682&gt;PARAMETROS!$C$33,"",E682*PARAMETROS!$C$39)</f>
        <v/>
      </c>
      <c r="I682" s="16" t="str">
        <f aca="false">IF($A682&gt;PARAMETROS!$C$33,"",G682-H682)</f>
        <v/>
      </c>
      <c r="J682" s="16" t="str">
        <f aca="false">IF($A682&gt;PARAMETROS!$C$33,"",PARAMETROS!$C$9*(1+PARAMETROS!$C$17)^(B682-1))</f>
        <v/>
      </c>
      <c r="K682" s="16" t="str">
        <f aca="false">IF($A682&gt;PARAMETROS!$C$33,"",K681*(1+PARAMETROS!$C$36))</f>
        <v/>
      </c>
      <c r="L682" s="16" t="str">
        <f aca="false">IF($A682&gt;PARAMETROS!$C$33,"",L681*(1+PARAMETROS!$C$37)*(1+M682))</f>
        <v/>
      </c>
      <c r="M682" s="17" t="str">
        <f aca="false">IF($A682&gt;PARAMETROS!$C$33,"",IF(C682&lt;70,PARAMETROS!$C$40,IF(C682&lt;75,PARAMETROS!$C$41,IF(C682&lt;80,PARAMETROS!$C$42,IF(C682&lt;85,PARAMETROS!$C$43,IF(C682&lt;90,PARAMETROS!$C$44,PARAMETROS!$C$45))))))</f>
        <v/>
      </c>
      <c r="N682" s="16" t="str">
        <f aca="false">IF($A682&gt;PARAMETROS!$C$33,"",K682+L682)</f>
        <v/>
      </c>
      <c r="O682" s="16" t="str">
        <f aca="false">IF($A682&gt;PARAMETROS!$C$33,"",I682+J682-N682)</f>
        <v/>
      </c>
      <c r="P682" s="16" t="str">
        <f aca="false">IF($A682&gt;PARAMETROS!$C$33,"",MAX(E682+I682+J682-N682,0))</f>
        <v/>
      </c>
      <c r="Q682" s="18" t="str">
        <f aca="false">IF($A682&gt;PARAMETROS!$C$33,"",IF(P682&lt;=0,"AGOTADO","OK"))</f>
        <v/>
      </c>
    </row>
    <row r="683" customFormat="false" ht="15" hidden="false" customHeight="false" outlineLevel="0" collapsed="false">
      <c r="A683" s="15" t="n">
        <f aca="false">A682+1</f>
        <v>681</v>
      </c>
      <c r="B683" s="15" t="n">
        <f aca="false">IF($A683="","",ROUNDUP($A683/12,0))</f>
        <v>57</v>
      </c>
      <c r="C683" s="15" t="n">
        <f aca="false">IF($A683="","",PARAMETROS!$C$6+INT(($A683-1)/12))</f>
        <v>121</v>
      </c>
      <c r="D683" s="15" t="n">
        <f aca="false">IF($A683="","",MOD($A683-1,12)+1)</f>
        <v>9</v>
      </c>
      <c r="E683" s="16" t="str">
        <f aca="false">IF($A683&gt;PARAMETROS!$C$33,"",P682)</f>
        <v/>
      </c>
      <c r="F683" s="17" t="str">
        <f aca="false">IF($A683&gt;PARAMETROS!$C$33,"",PARAMETROS!$C$38)</f>
        <v/>
      </c>
      <c r="G683" s="16" t="str">
        <f aca="false">IF($A683&gt;PARAMETROS!$C$33,"",E683*F683)</f>
        <v/>
      </c>
      <c r="H683" s="16" t="str">
        <f aca="false">IF($A683&gt;PARAMETROS!$C$33,"",E683*PARAMETROS!$C$39)</f>
        <v/>
      </c>
      <c r="I683" s="16" t="str">
        <f aca="false">IF($A683&gt;PARAMETROS!$C$33,"",G683-H683)</f>
        <v/>
      </c>
      <c r="J683" s="16" t="str">
        <f aca="false">IF($A683&gt;PARAMETROS!$C$33,"",PARAMETROS!$C$9*(1+PARAMETROS!$C$17)^(B683-1))</f>
        <v/>
      </c>
      <c r="K683" s="16" t="str">
        <f aca="false">IF($A683&gt;PARAMETROS!$C$33,"",K682*(1+PARAMETROS!$C$36))</f>
        <v/>
      </c>
      <c r="L683" s="16" t="str">
        <f aca="false">IF($A683&gt;PARAMETROS!$C$33,"",L682*(1+PARAMETROS!$C$37)*(1+M683))</f>
        <v/>
      </c>
      <c r="M683" s="17" t="str">
        <f aca="false">IF($A683&gt;PARAMETROS!$C$33,"",IF(C683&lt;70,PARAMETROS!$C$40,IF(C683&lt;75,PARAMETROS!$C$41,IF(C683&lt;80,PARAMETROS!$C$42,IF(C683&lt;85,PARAMETROS!$C$43,IF(C683&lt;90,PARAMETROS!$C$44,PARAMETROS!$C$45))))))</f>
        <v/>
      </c>
      <c r="N683" s="16" t="str">
        <f aca="false">IF($A683&gt;PARAMETROS!$C$33,"",K683+L683)</f>
        <v/>
      </c>
      <c r="O683" s="16" t="str">
        <f aca="false">IF($A683&gt;PARAMETROS!$C$33,"",I683+J683-N683)</f>
        <v/>
      </c>
      <c r="P683" s="16" t="str">
        <f aca="false">IF($A683&gt;PARAMETROS!$C$33,"",MAX(E683+I683+J683-N683,0))</f>
        <v/>
      </c>
      <c r="Q683" s="18" t="str">
        <f aca="false">IF($A683&gt;PARAMETROS!$C$33,"",IF(P683&lt;=0,"AGOTADO","OK"))</f>
        <v/>
      </c>
    </row>
    <row r="684" customFormat="false" ht="15" hidden="false" customHeight="false" outlineLevel="0" collapsed="false">
      <c r="A684" s="15" t="n">
        <f aca="false">A683+1</f>
        <v>682</v>
      </c>
      <c r="B684" s="15" t="n">
        <f aca="false">IF($A684="","",ROUNDUP($A684/12,0))</f>
        <v>57</v>
      </c>
      <c r="C684" s="15" t="n">
        <f aca="false">IF($A684="","",PARAMETROS!$C$6+INT(($A684-1)/12))</f>
        <v>121</v>
      </c>
      <c r="D684" s="15" t="n">
        <f aca="false">IF($A684="","",MOD($A684-1,12)+1)</f>
        <v>10</v>
      </c>
      <c r="E684" s="16" t="str">
        <f aca="false">IF($A684&gt;PARAMETROS!$C$33,"",P683)</f>
        <v/>
      </c>
      <c r="F684" s="17" t="str">
        <f aca="false">IF($A684&gt;PARAMETROS!$C$33,"",PARAMETROS!$C$38)</f>
        <v/>
      </c>
      <c r="G684" s="16" t="str">
        <f aca="false">IF($A684&gt;PARAMETROS!$C$33,"",E684*F684)</f>
        <v/>
      </c>
      <c r="H684" s="16" t="str">
        <f aca="false">IF($A684&gt;PARAMETROS!$C$33,"",E684*PARAMETROS!$C$39)</f>
        <v/>
      </c>
      <c r="I684" s="16" t="str">
        <f aca="false">IF($A684&gt;PARAMETROS!$C$33,"",G684-H684)</f>
        <v/>
      </c>
      <c r="J684" s="16" t="str">
        <f aca="false">IF($A684&gt;PARAMETROS!$C$33,"",PARAMETROS!$C$9*(1+PARAMETROS!$C$17)^(B684-1))</f>
        <v/>
      </c>
      <c r="K684" s="16" t="str">
        <f aca="false">IF($A684&gt;PARAMETROS!$C$33,"",K683*(1+PARAMETROS!$C$36))</f>
        <v/>
      </c>
      <c r="L684" s="16" t="str">
        <f aca="false">IF($A684&gt;PARAMETROS!$C$33,"",L683*(1+PARAMETROS!$C$37)*(1+M684))</f>
        <v/>
      </c>
      <c r="M684" s="17" t="str">
        <f aca="false">IF($A684&gt;PARAMETROS!$C$33,"",IF(C684&lt;70,PARAMETROS!$C$40,IF(C684&lt;75,PARAMETROS!$C$41,IF(C684&lt;80,PARAMETROS!$C$42,IF(C684&lt;85,PARAMETROS!$C$43,IF(C684&lt;90,PARAMETROS!$C$44,PARAMETROS!$C$45))))))</f>
        <v/>
      </c>
      <c r="N684" s="16" t="str">
        <f aca="false">IF($A684&gt;PARAMETROS!$C$33,"",K684+L684)</f>
        <v/>
      </c>
      <c r="O684" s="16" t="str">
        <f aca="false">IF($A684&gt;PARAMETROS!$C$33,"",I684+J684-N684)</f>
        <v/>
      </c>
      <c r="P684" s="16" t="str">
        <f aca="false">IF($A684&gt;PARAMETROS!$C$33,"",MAX(E684+I684+J684-N684,0))</f>
        <v/>
      </c>
      <c r="Q684" s="18" t="str">
        <f aca="false">IF($A684&gt;PARAMETROS!$C$33,"",IF(P684&lt;=0,"AGOTADO","OK"))</f>
        <v/>
      </c>
    </row>
    <row r="685" customFormat="false" ht="15" hidden="false" customHeight="false" outlineLevel="0" collapsed="false">
      <c r="A685" s="15" t="n">
        <f aca="false">A684+1</f>
        <v>683</v>
      </c>
      <c r="B685" s="15" t="n">
        <f aca="false">IF($A685="","",ROUNDUP($A685/12,0))</f>
        <v>57</v>
      </c>
      <c r="C685" s="15" t="n">
        <f aca="false">IF($A685="","",PARAMETROS!$C$6+INT(($A685-1)/12))</f>
        <v>121</v>
      </c>
      <c r="D685" s="15" t="n">
        <f aca="false">IF($A685="","",MOD($A685-1,12)+1)</f>
        <v>11</v>
      </c>
      <c r="E685" s="16" t="str">
        <f aca="false">IF($A685&gt;PARAMETROS!$C$33,"",P684)</f>
        <v/>
      </c>
      <c r="F685" s="17" t="str">
        <f aca="false">IF($A685&gt;PARAMETROS!$C$33,"",PARAMETROS!$C$38)</f>
        <v/>
      </c>
      <c r="G685" s="16" t="str">
        <f aca="false">IF($A685&gt;PARAMETROS!$C$33,"",E685*F685)</f>
        <v/>
      </c>
      <c r="H685" s="16" t="str">
        <f aca="false">IF($A685&gt;PARAMETROS!$C$33,"",E685*PARAMETROS!$C$39)</f>
        <v/>
      </c>
      <c r="I685" s="16" t="str">
        <f aca="false">IF($A685&gt;PARAMETROS!$C$33,"",G685-H685)</f>
        <v/>
      </c>
      <c r="J685" s="16" t="str">
        <f aca="false">IF($A685&gt;PARAMETROS!$C$33,"",PARAMETROS!$C$9*(1+PARAMETROS!$C$17)^(B685-1))</f>
        <v/>
      </c>
      <c r="K685" s="16" t="str">
        <f aca="false">IF($A685&gt;PARAMETROS!$C$33,"",K684*(1+PARAMETROS!$C$36))</f>
        <v/>
      </c>
      <c r="L685" s="16" t="str">
        <f aca="false">IF($A685&gt;PARAMETROS!$C$33,"",L684*(1+PARAMETROS!$C$37)*(1+M685))</f>
        <v/>
      </c>
      <c r="M685" s="17" t="str">
        <f aca="false">IF($A685&gt;PARAMETROS!$C$33,"",IF(C685&lt;70,PARAMETROS!$C$40,IF(C685&lt;75,PARAMETROS!$C$41,IF(C685&lt;80,PARAMETROS!$C$42,IF(C685&lt;85,PARAMETROS!$C$43,IF(C685&lt;90,PARAMETROS!$C$44,PARAMETROS!$C$45))))))</f>
        <v/>
      </c>
      <c r="N685" s="16" t="str">
        <f aca="false">IF($A685&gt;PARAMETROS!$C$33,"",K685+L685)</f>
        <v/>
      </c>
      <c r="O685" s="16" t="str">
        <f aca="false">IF($A685&gt;PARAMETROS!$C$33,"",I685+J685-N685)</f>
        <v/>
      </c>
      <c r="P685" s="16" t="str">
        <f aca="false">IF($A685&gt;PARAMETROS!$C$33,"",MAX(E685+I685+J685-N685,0))</f>
        <v/>
      </c>
      <c r="Q685" s="18" t="str">
        <f aca="false">IF($A685&gt;PARAMETROS!$C$33,"",IF(P685&lt;=0,"AGOTADO","OK"))</f>
        <v/>
      </c>
    </row>
    <row r="686" customFormat="false" ht="15" hidden="false" customHeight="false" outlineLevel="0" collapsed="false">
      <c r="A686" s="15" t="n">
        <f aca="false">A685+1</f>
        <v>684</v>
      </c>
      <c r="B686" s="15" t="n">
        <f aca="false">IF($A686="","",ROUNDUP($A686/12,0))</f>
        <v>57</v>
      </c>
      <c r="C686" s="15" t="n">
        <f aca="false">IF($A686="","",PARAMETROS!$C$6+INT(($A686-1)/12))</f>
        <v>121</v>
      </c>
      <c r="D686" s="15" t="n">
        <f aca="false">IF($A686="","",MOD($A686-1,12)+1)</f>
        <v>12</v>
      </c>
      <c r="E686" s="16" t="str">
        <f aca="false">IF($A686&gt;PARAMETROS!$C$33,"",P685)</f>
        <v/>
      </c>
      <c r="F686" s="17" t="str">
        <f aca="false">IF($A686&gt;PARAMETROS!$C$33,"",PARAMETROS!$C$38)</f>
        <v/>
      </c>
      <c r="G686" s="16" t="str">
        <f aca="false">IF($A686&gt;PARAMETROS!$C$33,"",E686*F686)</f>
        <v/>
      </c>
      <c r="H686" s="16" t="str">
        <f aca="false">IF($A686&gt;PARAMETROS!$C$33,"",E686*PARAMETROS!$C$39)</f>
        <v/>
      </c>
      <c r="I686" s="16" t="str">
        <f aca="false">IF($A686&gt;PARAMETROS!$C$33,"",G686-H686)</f>
        <v/>
      </c>
      <c r="J686" s="16" t="str">
        <f aca="false">IF($A686&gt;PARAMETROS!$C$33,"",PARAMETROS!$C$9*(1+PARAMETROS!$C$17)^(B686-1))</f>
        <v/>
      </c>
      <c r="K686" s="16" t="str">
        <f aca="false">IF($A686&gt;PARAMETROS!$C$33,"",K685*(1+PARAMETROS!$C$36))</f>
        <v/>
      </c>
      <c r="L686" s="16" t="str">
        <f aca="false">IF($A686&gt;PARAMETROS!$C$33,"",L685*(1+PARAMETROS!$C$37)*(1+M686))</f>
        <v/>
      </c>
      <c r="M686" s="17" t="str">
        <f aca="false">IF($A686&gt;PARAMETROS!$C$33,"",IF(C686&lt;70,PARAMETROS!$C$40,IF(C686&lt;75,PARAMETROS!$C$41,IF(C686&lt;80,PARAMETROS!$C$42,IF(C686&lt;85,PARAMETROS!$C$43,IF(C686&lt;90,PARAMETROS!$C$44,PARAMETROS!$C$45))))))</f>
        <v/>
      </c>
      <c r="N686" s="16" t="str">
        <f aca="false">IF($A686&gt;PARAMETROS!$C$33,"",K686+L686)</f>
        <v/>
      </c>
      <c r="O686" s="16" t="str">
        <f aca="false">IF($A686&gt;PARAMETROS!$C$33,"",I686+J686-N686)</f>
        <v/>
      </c>
      <c r="P686" s="16" t="str">
        <f aca="false">IF($A686&gt;PARAMETROS!$C$33,"",MAX(E686+I686+J686-N686,0))</f>
        <v/>
      </c>
      <c r="Q686" s="18" t="str">
        <f aca="false">IF($A686&gt;PARAMETROS!$C$33,"",IF(P686&lt;=0,"AGOTADO","OK"))</f>
        <v/>
      </c>
    </row>
    <row r="687" customFormat="false" ht="15" hidden="false" customHeight="false" outlineLevel="0" collapsed="false">
      <c r="A687" s="19" t="n">
        <f aca="false">A686+1</f>
        <v>685</v>
      </c>
      <c r="B687" s="19" t="n">
        <f aca="false">IF($A687="","",ROUNDUP($A687/12,0))</f>
        <v>58</v>
      </c>
      <c r="C687" s="19" t="n">
        <f aca="false">IF($A687="","",PARAMETROS!$C$6+INT(($A687-1)/12))</f>
        <v>122</v>
      </c>
      <c r="D687" s="19" t="n">
        <f aca="false">IF($A687="","",MOD($A687-1,12)+1)</f>
        <v>1</v>
      </c>
      <c r="E687" s="20" t="str">
        <f aca="false">IF($A687&gt;PARAMETROS!$C$33,"",P686)</f>
        <v/>
      </c>
      <c r="F687" s="21" t="str">
        <f aca="false">IF($A687&gt;PARAMETROS!$C$33,"",PARAMETROS!$C$38)</f>
        <v/>
      </c>
      <c r="G687" s="20" t="str">
        <f aca="false">IF($A687&gt;PARAMETROS!$C$33,"",E687*F687)</f>
        <v/>
      </c>
      <c r="H687" s="20" t="str">
        <f aca="false">IF($A687&gt;PARAMETROS!$C$33,"",E687*PARAMETROS!$C$39)</f>
        <v/>
      </c>
      <c r="I687" s="20" t="str">
        <f aca="false">IF($A687&gt;PARAMETROS!$C$33,"",G687-H687)</f>
        <v/>
      </c>
      <c r="J687" s="20" t="str">
        <f aca="false">IF($A687&gt;PARAMETROS!$C$33,"",PARAMETROS!$C$9*(1+PARAMETROS!$C$17)^(B687-1))</f>
        <v/>
      </c>
      <c r="K687" s="20" t="str">
        <f aca="false">IF($A687&gt;PARAMETROS!$C$33,"",K686*(1+PARAMETROS!$C$36))</f>
        <v/>
      </c>
      <c r="L687" s="20" t="str">
        <f aca="false">IF($A687&gt;PARAMETROS!$C$33,"",L686*(1+PARAMETROS!$C$37)*(1+M687))</f>
        <v/>
      </c>
      <c r="M687" s="21" t="str">
        <f aca="false">IF($A687&gt;PARAMETROS!$C$33,"",IF(C687&lt;70,PARAMETROS!$C$40,IF(C687&lt;75,PARAMETROS!$C$41,IF(C687&lt;80,PARAMETROS!$C$42,IF(C687&lt;85,PARAMETROS!$C$43,IF(C687&lt;90,PARAMETROS!$C$44,PARAMETROS!$C$45))))))</f>
        <v/>
      </c>
      <c r="N687" s="20" t="str">
        <f aca="false">IF($A687&gt;PARAMETROS!$C$33,"",K687+L687)</f>
        <v/>
      </c>
      <c r="O687" s="20" t="str">
        <f aca="false">IF($A687&gt;PARAMETROS!$C$33,"",I687+J687-N687)</f>
        <v/>
      </c>
      <c r="P687" s="20" t="str">
        <f aca="false">IF($A687&gt;PARAMETROS!$C$33,"",MAX(E687+I687+J687-N687,0))</f>
        <v/>
      </c>
      <c r="Q687" s="22" t="str">
        <f aca="false">IF($A687&gt;PARAMETROS!$C$33,"",IF(P687&lt;=0,"AGOTADO","OK"))</f>
        <v/>
      </c>
    </row>
    <row r="688" customFormat="false" ht="15" hidden="false" customHeight="false" outlineLevel="0" collapsed="false">
      <c r="A688" s="19" t="n">
        <f aca="false">A687+1</f>
        <v>686</v>
      </c>
      <c r="B688" s="19" t="n">
        <f aca="false">IF($A688="","",ROUNDUP($A688/12,0))</f>
        <v>58</v>
      </c>
      <c r="C688" s="19" t="n">
        <f aca="false">IF($A688="","",PARAMETROS!$C$6+INT(($A688-1)/12))</f>
        <v>122</v>
      </c>
      <c r="D688" s="19" t="n">
        <f aca="false">IF($A688="","",MOD($A688-1,12)+1)</f>
        <v>2</v>
      </c>
      <c r="E688" s="20" t="str">
        <f aca="false">IF($A688&gt;PARAMETROS!$C$33,"",P687)</f>
        <v/>
      </c>
      <c r="F688" s="21" t="str">
        <f aca="false">IF($A688&gt;PARAMETROS!$C$33,"",PARAMETROS!$C$38)</f>
        <v/>
      </c>
      <c r="G688" s="20" t="str">
        <f aca="false">IF($A688&gt;PARAMETROS!$C$33,"",E688*F688)</f>
        <v/>
      </c>
      <c r="H688" s="20" t="str">
        <f aca="false">IF($A688&gt;PARAMETROS!$C$33,"",E688*PARAMETROS!$C$39)</f>
        <v/>
      </c>
      <c r="I688" s="20" t="str">
        <f aca="false">IF($A688&gt;PARAMETROS!$C$33,"",G688-H688)</f>
        <v/>
      </c>
      <c r="J688" s="20" t="str">
        <f aca="false">IF($A688&gt;PARAMETROS!$C$33,"",PARAMETROS!$C$9*(1+PARAMETROS!$C$17)^(B688-1))</f>
        <v/>
      </c>
      <c r="K688" s="20" t="str">
        <f aca="false">IF($A688&gt;PARAMETROS!$C$33,"",K687*(1+PARAMETROS!$C$36))</f>
        <v/>
      </c>
      <c r="L688" s="20" t="str">
        <f aca="false">IF($A688&gt;PARAMETROS!$C$33,"",L687*(1+PARAMETROS!$C$37)*(1+M688))</f>
        <v/>
      </c>
      <c r="M688" s="21" t="str">
        <f aca="false">IF($A688&gt;PARAMETROS!$C$33,"",IF(C688&lt;70,PARAMETROS!$C$40,IF(C688&lt;75,PARAMETROS!$C$41,IF(C688&lt;80,PARAMETROS!$C$42,IF(C688&lt;85,PARAMETROS!$C$43,IF(C688&lt;90,PARAMETROS!$C$44,PARAMETROS!$C$45))))))</f>
        <v/>
      </c>
      <c r="N688" s="20" t="str">
        <f aca="false">IF($A688&gt;PARAMETROS!$C$33,"",K688+L688)</f>
        <v/>
      </c>
      <c r="O688" s="20" t="str">
        <f aca="false">IF($A688&gt;PARAMETROS!$C$33,"",I688+J688-N688)</f>
        <v/>
      </c>
      <c r="P688" s="20" t="str">
        <f aca="false">IF($A688&gt;PARAMETROS!$C$33,"",MAX(E688+I688+J688-N688,0))</f>
        <v/>
      </c>
      <c r="Q688" s="22" t="str">
        <f aca="false">IF($A688&gt;PARAMETROS!$C$33,"",IF(P688&lt;=0,"AGOTADO","OK"))</f>
        <v/>
      </c>
    </row>
    <row r="689" customFormat="false" ht="15" hidden="false" customHeight="false" outlineLevel="0" collapsed="false">
      <c r="A689" s="19" t="n">
        <f aca="false">A688+1</f>
        <v>687</v>
      </c>
      <c r="B689" s="19" t="n">
        <f aca="false">IF($A689="","",ROUNDUP($A689/12,0))</f>
        <v>58</v>
      </c>
      <c r="C689" s="19" t="n">
        <f aca="false">IF($A689="","",PARAMETROS!$C$6+INT(($A689-1)/12))</f>
        <v>122</v>
      </c>
      <c r="D689" s="19" t="n">
        <f aca="false">IF($A689="","",MOD($A689-1,12)+1)</f>
        <v>3</v>
      </c>
      <c r="E689" s="20" t="str">
        <f aca="false">IF($A689&gt;PARAMETROS!$C$33,"",P688)</f>
        <v/>
      </c>
      <c r="F689" s="21" t="str">
        <f aca="false">IF($A689&gt;PARAMETROS!$C$33,"",PARAMETROS!$C$38)</f>
        <v/>
      </c>
      <c r="G689" s="20" t="str">
        <f aca="false">IF($A689&gt;PARAMETROS!$C$33,"",E689*F689)</f>
        <v/>
      </c>
      <c r="H689" s="20" t="str">
        <f aca="false">IF($A689&gt;PARAMETROS!$C$33,"",E689*PARAMETROS!$C$39)</f>
        <v/>
      </c>
      <c r="I689" s="20" t="str">
        <f aca="false">IF($A689&gt;PARAMETROS!$C$33,"",G689-H689)</f>
        <v/>
      </c>
      <c r="J689" s="20" t="str">
        <f aca="false">IF($A689&gt;PARAMETROS!$C$33,"",PARAMETROS!$C$9*(1+PARAMETROS!$C$17)^(B689-1))</f>
        <v/>
      </c>
      <c r="K689" s="20" t="str">
        <f aca="false">IF($A689&gt;PARAMETROS!$C$33,"",K688*(1+PARAMETROS!$C$36))</f>
        <v/>
      </c>
      <c r="L689" s="20" t="str">
        <f aca="false">IF($A689&gt;PARAMETROS!$C$33,"",L688*(1+PARAMETROS!$C$37)*(1+M689))</f>
        <v/>
      </c>
      <c r="M689" s="21" t="str">
        <f aca="false">IF($A689&gt;PARAMETROS!$C$33,"",IF(C689&lt;70,PARAMETROS!$C$40,IF(C689&lt;75,PARAMETROS!$C$41,IF(C689&lt;80,PARAMETROS!$C$42,IF(C689&lt;85,PARAMETROS!$C$43,IF(C689&lt;90,PARAMETROS!$C$44,PARAMETROS!$C$45))))))</f>
        <v/>
      </c>
      <c r="N689" s="20" t="str">
        <f aca="false">IF($A689&gt;PARAMETROS!$C$33,"",K689+L689)</f>
        <v/>
      </c>
      <c r="O689" s="20" t="str">
        <f aca="false">IF($A689&gt;PARAMETROS!$C$33,"",I689+J689-N689)</f>
        <v/>
      </c>
      <c r="P689" s="20" t="str">
        <f aca="false">IF($A689&gt;PARAMETROS!$C$33,"",MAX(E689+I689+J689-N689,0))</f>
        <v/>
      </c>
      <c r="Q689" s="22" t="str">
        <f aca="false">IF($A689&gt;PARAMETROS!$C$33,"",IF(P689&lt;=0,"AGOTADO","OK"))</f>
        <v/>
      </c>
    </row>
    <row r="690" customFormat="false" ht="15" hidden="false" customHeight="false" outlineLevel="0" collapsed="false">
      <c r="A690" s="19" t="n">
        <f aca="false">A689+1</f>
        <v>688</v>
      </c>
      <c r="B690" s="19" t="n">
        <f aca="false">IF($A690="","",ROUNDUP($A690/12,0))</f>
        <v>58</v>
      </c>
      <c r="C690" s="19" t="n">
        <f aca="false">IF($A690="","",PARAMETROS!$C$6+INT(($A690-1)/12))</f>
        <v>122</v>
      </c>
      <c r="D690" s="19" t="n">
        <f aca="false">IF($A690="","",MOD($A690-1,12)+1)</f>
        <v>4</v>
      </c>
      <c r="E690" s="20" t="str">
        <f aca="false">IF($A690&gt;PARAMETROS!$C$33,"",P689)</f>
        <v/>
      </c>
      <c r="F690" s="21" t="str">
        <f aca="false">IF($A690&gt;PARAMETROS!$C$33,"",PARAMETROS!$C$38)</f>
        <v/>
      </c>
      <c r="G690" s="20" t="str">
        <f aca="false">IF($A690&gt;PARAMETROS!$C$33,"",E690*F690)</f>
        <v/>
      </c>
      <c r="H690" s="20" t="str">
        <f aca="false">IF($A690&gt;PARAMETROS!$C$33,"",E690*PARAMETROS!$C$39)</f>
        <v/>
      </c>
      <c r="I690" s="20" t="str">
        <f aca="false">IF($A690&gt;PARAMETROS!$C$33,"",G690-H690)</f>
        <v/>
      </c>
      <c r="J690" s="20" t="str">
        <f aca="false">IF($A690&gt;PARAMETROS!$C$33,"",PARAMETROS!$C$9*(1+PARAMETROS!$C$17)^(B690-1))</f>
        <v/>
      </c>
      <c r="K690" s="20" t="str">
        <f aca="false">IF($A690&gt;PARAMETROS!$C$33,"",K689*(1+PARAMETROS!$C$36))</f>
        <v/>
      </c>
      <c r="L690" s="20" t="str">
        <f aca="false">IF($A690&gt;PARAMETROS!$C$33,"",L689*(1+PARAMETROS!$C$37)*(1+M690))</f>
        <v/>
      </c>
      <c r="M690" s="21" t="str">
        <f aca="false">IF($A690&gt;PARAMETROS!$C$33,"",IF(C690&lt;70,PARAMETROS!$C$40,IF(C690&lt;75,PARAMETROS!$C$41,IF(C690&lt;80,PARAMETROS!$C$42,IF(C690&lt;85,PARAMETROS!$C$43,IF(C690&lt;90,PARAMETROS!$C$44,PARAMETROS!$C$45))))))</f>
        <v/>
      </c>
      <c r="N690" s="20" t="str">
        <f aca="false">IF($A690&gt;PARAMETROS!$C$33,"",K690+L690)</f>
        <v/>
      </c>
      <c r="O690" s="20" t="str">
        <f aca="false">IF($A690&gt;PARAMETROS!$C$33,"",I690+J690-N690)</f>
        <v/>
      </c>
      <c r="P690" s="20" t="str">
        <f aca="false">IF($A690&gt;PARAMETROS!$C$33,"",MAX(E690+I690+J690-N690,0))</f>
        <v/>
      </c>
      <c r="Q690" s="22" t="str">
        <f aca="false">IF($A690&gt;PARAMETROS!$C$33,"",IF(P690&lt;=0,"AGOTADO","OK"))</f>
        <v/>
      </c>
    </row>
    <row r="691" customFormat="false" ht="15" hidden="false" customHeight="false" outlineLevel="0" collapsed="false">
      <c r="A691" s="19" t="n">
        <f aca="false">A690+1</f>
        <v>689</v>
      </c>
      <c r="B691" s="19" t="n">
        <f aca="false">IF($A691="","",ROUNDUP($A691/12,0))</f>
        <v>58</v>
      </c>
      <c r="C691" s="19" t="n">
        <f aca="false">IF($A691="","",PARAMETROS!$C$6+INT(($A691-1)/12))</f>
        <v>122</v>
      </c>
      <c r="D691" s="19" t="n">
        <f aca="false">IF($A691="","",MOD($A691-1,12)+1)</f>
        <v>5</v>
      </c>
      <c r="E691" s="20" t="str">
        <f aca="false">IF($A691&gt;PARAMETROS!$C$33,"",P690)</f>
        <v/>
      </c>
      <c r="F691" s="21" t="str">
        <f aca="false">IF($A691&gt;PARAMETROS!$C$33,"",PARAMETROS!$C$38)</f>
        <v/>
      </c>
      <c r="G691" s="20" t="str">
        <f aca="false">IF($A691&gt;PARAMETROS!$C$33,"",E691*F691)</f>
        <v/>
      </c>
      <c r="H691" s="20" t="str">
        <f aca="false">IF($A691&gt;PARAMETROS!$C$33,"",E691*PARAMETROS!$C$39)</f>
        <v/>
      </c>
      <c r="I691" s="20" t="str">
        <f aca="false">IF($A691&gt;PARAMETROS!$C$33,"",G691-H691)</f>
        <v/>
      </c>
      <c r="J691" s="20" t="str">
        <f aca="false">IF($A691&gt;PARAMETROS!$C$33,"",PARAMETROS!$C$9*(1+PARAMETROS!$C$17)^(B691-1))</f>
        <v/>
      </c>
      <c r="K691" s="20" t="str">
        <f aca="false">IF($A691&gt;PARAMETROS!$C$33,"",K690*(1+PARAMETROS!$C$36))</f>
        <v/>
      </c>
      <c r="L691" s="20" t="str">
        <f aca="false">IF($A691&gt;PARAMETROS!$C$33,"",L690*(1+PARAMETROS!$C$37)*(1+M691))</f>
        <v/>
      </c>
      <c r="M691" s="21" t="str">
        <f aca="false">IF($A691&gt;PARAMETROS!$C$33,"",IF(C691&lt;70,PARAMETROS!$C$40,IF(C691&lt;75,PARAMETROS!$C$41,IF(C691&lt;80,PARAMETROS!$C$42,IF(C691&lt;85,PARAMETROS!$C$43,IF(C691&lt;90,PARAMETROS!$C$44,PARAMETROS!$C$45))))))</f>
        <v/>
      </c>
      <c r="N691" s="20" t="str">
        <f aca="false">IF($A691&gt;PARAMETROS!$C$33,"",K691+L691)</f>
        <v/>
      </c>
      <c r="O691" s="20" t="str">
        <f aca="false">IF($A691&gt;PARAMETROS!$C$33,"",I691+J691-N691)</f>
        <v/>
      </c>
      <c r="P691" s="20" t="str">
        <f aca="false">IF($A691&gt;PARAMETROS!$C$33,"",MAX(E691+I691+J691-N691,0))</f>
        <v/>
      </c>
      <c r="Q691" s="22" t="str">
        <f aca="false">IF($A691&gt;PARAMETROS!$C$33,"",IF(P691&lt;=0,"AGOTADO","OK"))</f>
        <v/>
      </c>
    </row>
    <row r="692" customFormat="false" ht="15" hidden="false" customHeight="false" outlineLevel="0" collapsed="false">
      <c r="A692" s="19" t="n">
        <f aca="false">A691+1</f>
        <v>690</v>
      </c>
      <c r="B692" s="19" t="n">
        <f aca="false">IF($A692="","",ROUNDUP($A692/12,0))</f>
        <v>58</v>
      </c>
      <c r="C692" s="19" t="n">
        <f aca="false">IF($A692="","",PARAMETROS!$C$6+INT(($A692-1)/12))</f>
        <v>122</v>
      </c>
      <c r="D692" s="19" t="n">
        <f aca="false">IF($A692="","",MOD($A692-1,12)+1)</f>
        <v>6</v>
      </c>
      <c r="E692" s="20" t="str">
        <f aca="false">IF($A692&gt;PARAMETROS!$C$33,"",P691)</f>
        <v/>
      </c>
      <c r="F692" s="21" t="str">
        <f aca="false">IF($A692&gt;PARAMETROS!$C$33,"",PARAMETROS!$C$38)</f>
        <v/>
      </c>
      <c r="G692" s="20" t="str">
        <f aca="false">IF($A692&gt;PARAMETROS!$C$33,"",E692*F692)</f>
        <v/>
      </c>
      <c r="H692" s="20" t="str">
        <f aca="false">IF($A692&gt;PARAMETROS!$C$33,"",E692*PARAMETROS!$C$39)</f>
        <v/>
      </c>
      <c r="I692" s="20" t="str">
        <f aca="false">IF($A692&gt;PARAMETROS!$C$33,"",G692-H692)</f>
        <v/>
      </c>
      <c r="J692" s="20" t="str">
        <f aca="false">IF($A692&gt;PARAMETROS!$C$33,"",PARAMETROS!$C$9*(1+PARAMETROS!$C$17)^(B692-1))</f>
        <v/>
      </c>
      <c r="K692" s="20" t="str">
        <f aca="false">IF($A692&gt;PARAMETROS!$C$33,"",K691*(1+PARAMETROS!$C$36))</f>
        <v/>
      </c>
      <c r="L692" s="20" t="str">
        <f aca="false">IF($A692&gt;PARAMETROS!$C$33,"",L691*(1+PARAMETROS!$C$37)*(1+M692))</f>
        <v/>
      </c>
      <c r="M692" s="21" t="str">
        <f aca="false">IF($A692&gt;PARAMETROS!$C$33,"",IF(C692&lt;70,PARAMETROS!$C$40,IF(C692&lt;75,PARAMETROS!$C$41,IF(C692&lt;80,PARAMETROS!$C$42,IF(C692&lt;85,PARAMETROS!$C$43,IF(C692&lt;90,PARAMETROS!$C$44,PARAMETROS!$C$45))))))</f>
        <v/>
      </c>
      <c r="N692" s="20" t="str">
        <f aca="false">IF($A692&gt;PARAMETROS!$C$33,"",K692+L692)</f>
        <v/>
      </c>
      <c r="O692" s="20" t="str">
        <f aca="false">IF($A692&gt;PARAMETROS!$C$33,"",I692+J692-N692)</f>
        <v/>
      </c>
      <c r="P692" s="20" t="str">
        <f aca="false">IF($A692&gt;PARAMETROS!$C$33,"",MAX(E692+I692+J692-N692,0))</f>
        <v/>
      </c>
      <c r="Q692" s="22" t="str">
        <f aca="false">IF($A692&gt;PARAMETROS!$C$33,"",IF(P692&lt;=0,"AGOTADO","OK"))</f>
        <v/>
      </c>
    </row>
    <row r="693" customFormat="false" ht="15" hidden="false" customHeight="false" outlineLevel="0" collapsed="false">
      <c r="A693" s="19" t="n">
        <f aca="false">A692+1</f>
        <v>691</v>
      </c>
      <c r="B693" s="19" t="n">
        <f aca="false">IF($A693="","",ROUNDUP($A693/12,0))</f>
        <v>58</v>
      </c>
      <c r="C693" s="19" t="n">
        <f aca="false">IF($A693="","",PARAMETROS!$C$6+INT(($A693-1)/12))</f>
        <v>122</v>
      </c>
      <c r="D693" s="19" t="n">
        <f aca="false">IF($A693="","",MOD($A693-1,12)+1)</f>
        <v>7</v>
      </c>
      <c r="E693" s="20" t="str">
        <f aca="false">IF($A693&gt;PARAMETROS!$C$33,"",P692)</f>
        <v/>
      </c>
      <c r="F693" s="21" t="str">
        <f aca="false">IF($A693&gt;PARAMETROS!$C$33,"",PARAMETROS!$C$38)</f>
        <v/>
      </c>
      <c r="G693" s="20" t="str">
        <f aca="false">IF($A693&gt;PARAMETROS!$C$33,"",E693*F693)</f>
        <v/>
      </c>
      <c r="H693" s="20" t="str">
        <f aca="false">IF($A693&gt;PARAMETROS!$C$33,"",E693*PARAMETROS!$C$39)</f>
        <v/>
      </c>
      <c r="I693" s="20" t="str">
        <f aca="false">IF($A693&gt;PARAMETROS!$C$33,"",G693-H693)</f>
        <v/>
      </c>
      <c r="J693" s="20" t="str">
        <f aca="false">IF($A693&gt;PARAMETROS!$C$33,"",PARAMETROS!$C$9*(1+PARAMETROS!$C$17)^(B693-1))</f>
        <v/>
      </c>
      <c r="K693" s="20" t="str">
        <f aca="false">IF($A693&gt;PARAMETROS!$C$33,"",K692*(1+PARAMETROS!$C$36))</f>
        <v/>
      </c>
      <c r="L693" s="20" t="str">
        <f aca="false">IF($A693&gt;PARAMETROS!$C$33,"",L692*(1+PARAMETROS!$C$37)*(1+M693))</f>
        <v/>
      </c>
      <c r="M693" s="21" t="str">
        <f aca="false">IF($A693&gt;PARAMETROS!$C$33,"",IF(C693&lt;70,PARAMETROS!$C$40,IF(C693&lt;75,PARAMETROS!$C$41,IF(C693&lt;80,PARAMETROS!$C$42,IF(C693&lt;85,PARAMETROS!$C$43,IF(C693&lt;90,PARAMETROS!$C$44,PARAMETROS!$C$45))))))</f>
        <v/>
      </c>
      <c r="N693" s="20" t="str">
        <f aca="false">IF($A693&gt;PARAMETROS!$C$33,"",K693+L693)</f>
        <v/>
      </c>
      <c r="O693" s="20" t="str">
        <f aca="false">IF($A693&gt;PARAMETROS!$C$33,"",I693+J693-N693)</f>
        <v/>
      </c>
      <c r="P693" s="20" t="str">
        <f aca="false">IF($A693&gt;PARAMETROS!$C$33,"",MAX(E693+I693+J693-N693,0))</f>
        <v/>
      </c>
      <c r="Q693" s="22" t="str">
        <f aca="false">IF($A693&gt;PARAMETROS!$C$33,"",IF(P693&lt;=0,"AGOTADO","OK"))</f>
        <v/>
      </c>
    </row>
    <row r="694" customFormat="false" ht="15" hidden="false" customHeight="false" outlineLevel="0" collapsed="false">
      <c r="A694" s="19" t="n">
        <f aca="false">A693+1</f>
        <v>692</v>
      </c>
      <c r="B694" s="19" t="n">
        <f aca="false">IF($A694="","",ROUNDUP($A694/12,0))</f>
        <v>58</v>
      </c>
      <c r="C694" s="19" t="n">
        <f aca="false">IF($A694="","",PARAMETROS!$C$6+INT(($A694-1)/12))</f>
        <v>122</v>
      </c>
      <c r="D694" s="19" t="n">
        <f aca="false">IF($A694="","",MOD($A694-1,12)+1)</f>
        <v>8</v>
      </c>
      <c r="E694" s="20" t="str">
        <f aca="false">IF($A694&gt;PARAMETROS!$C$33,"",P693)</f>
        <v/>
      </c>
      <c r="F694" s="21" t="str">
        <f aca="false">IF($A694&gt;PARAMETROS!$C$33,"",PARAMETROS!$C$38)</f>
        <v/>
      </c>
      <c r="G694" s="20" t="str">
        <f aca="false">IF($A694&gt;PARAMETROS!$C$33,"",E694*F694)</f>
        <v/>
      </c>
      <c r="H694" s="20" t="str">
        <f aca="false">IF($A694&gt;PARAMETROS!$C$33,"",E694*PARAMETROS!$C$39)</f>
        <v/>
      </c>
      <c r="I694" s="20" t="str">
        <f aca="false">IF($A694&gt;PARAMETROS!$C$33,"",G694-H694)</f>
        <v/>
      </c>
      <c r="J694" s="20" t="str">
        <f aca="false">IF($A694&gt;PARAMETROS!$C$33,"",PARAMETROS!$C$9*(1+PARAMETROS!$C$17)^(B694-1))</f>
        <v/>
      </c>
      <c r="K694" s="20" t="str">
        <f aca="false">IF($A694&gt;PARAMETROS!$C$33,"",K693*(1+PARAMETROS!$C$36))</f>
        <v/>
      </c>
      <c r="L694" s="20" t="str">
        <f aca="false">IF($A694&gt;PARAMETROS!$C$33,"",L693*(1+PARAMETROS!$C$37)*(1+M694))</f>
        <v/>
      </c>
      <c r="M694" s="21" t="str">
        <f aca="false">IF($A694&gt;PARAMETROS!$C$33,"",IF(C694&lt;70,PARAMETROS!$C$40,IF(C694&lt;75,PARAMETROS!$C$41,IF(C694&lt;80,PARAMETROS!$C$42,IF(C694&lt;85,PARAMETROS!$C$43,IF(C694&lt;90,PARAMETROS!$C$44,PARAMETROS!$C$45))))))</f>
        <v/>
      </c>
      <c r="N694" s="20" t="str">
        <f aca="false">IF($A694&gt;PARAMETROS!$C$33,"",K694+L694)</f>
        <v/>
      </c>
      <c r="O694" s="20" t="str">
        <f aca="false">IF($A694&gt;PARAMETROS!$C$33,"",I694+J694-N694)</f>
        <v/>
      </c>
      <c r="P694" s="20" t="str">
        <f aca="false">IF($A694&gt;PARAMETROS!$C$33,"",MAX(E694+I694+J694-N694,0))</f>
        <v/>
      </c>
      <c r="Q694" s="22" t="str">
        <f aca="false">IF($A694&gt;PARAMETROS!$C$33,"",IF(P694&lt;=0,"AGOTADO","OK"))</f>
        <v/>
      </c>
    </row>
    <row r="695" customFormat="false" ht="15" hidden="false" customHeight="false" outlineLevel="0" collapsed="false">
      <c r="A695" s="19" t="n">
        <f aca="false">A694+1</f>
        <v>693</v>
      </c>
      <c r="B695" s="19" t="n">
        <f aca="false">IF($A695="","",ROUNDUP($A695/12,0))</f>
        <v>58</v>
      </c>
      <c r="C695" s="19" t="n">
        <f aca="false">IF($A695="","",PARAMETROS!$C$6+INT(($A695-1)/12))</f>
        <v>122</v>
      </c>
      <c r="D695" s="19" t="n">
        <f aca="false">IF($A695="","",MOD($A695-1,12)+1)</f>
        <v>9</v>
      </c>
      <c r="E695" s="20" t="str">
        <f aca="false">IF($A695&gt;PARAMETROS!$C$33,"",P694)</f>
        <v/>
      </c>
      <c r="F695" s="21" t="str">
        <f aca="false">IF($A695&gt;PARAMETROS!$C$33,"",PARAMETROS!$C$38)</f>
        <v/>
      </c>
      <c r="G695" s="20" t="str">
        <f aca="false">IF($A695&gt;PARAMETROS!$C$33,"",E695*F695)</f>
        <v/>
      </c>
      <c r="H695" s="20" t="str">
        <f aca="false">IF($A695&gt;PARAMETROS!$C$33,"",E695*PARAMETROS!$C$39)</f>
        <v/>
      </c>
      <c r="I695" s="20" t="str">
        <f aca="false">IF($A695&gt;PARAMETROS!$C$33,"",G695-H695)</f>
        <v/>
      </c>
      <c r="J695" s="20" t="str">
        <f aca="false">IF($A695&gt;PARAMETROS!$C$33,"",PARAMETROS!$C$9*(1+PARAMETROS!$C$17)^(B695-1))</f>
        <v/>
      </c>
      <c r="K695" s="20" t="str">
        <f aca="false">IF($A695&gt;PARAMETROS!$C$33,"",K694*(1+PARAMETROS!$C$36))</f>
        <v/>
      </c>
      <c r="L695" s="20" t="str">
        <f aca="false">IF($A695&gt;PARAMETROS!$C$33,"",L694*(1+PARAMETROS!$C$37)*(1+M695))</f>
        <v/>
      </c>
      <c r="M695" s="21" t="str">
        <f aca="false">IF($A695&gt;PARAMETROS!$C$33,"",IF(C695&lt;70,PARAMETROS!$C$40,IF(C695&lt;75,PARAMETROS!$C$41,IF(C695&lt;80,PARAMETROS!$C$42,IF(C695&lt;85,PARAMETROS!$C$43,IF(C695&lt;90,PARAMETROS!$C$44,PARAMETROS!$C$45))))))</f>
        <v/>
      </c>
      <c r="N695" s="20" t="str">
        <f aca="false">IF($A695&gt;PARAMETROS!$C$33,"",K695+L695)</f>
        <v/>
      </c>
      <c r="O695" s="20" t="str">
        <f aca="false">IF($A695&gt;PARAMETROS!$C$33,"",I695+J695-N695)</f>
        <v/>
      </c>
      <c r="P695" s="20" t="str">
        <f aca="false">IF($A695&gt;PARAMETROS!$C$33,"",MAX(E695+I695+J695-N695,0))</f>
        <v/>
      </c>
      <c r="Q695" s="22" t="str">
        <f aca="false">IF($A695&gt;PARAMETROS!$C$33,"",IF(P695&lt;=0,"AGOTADO","OK"))</f>
        <v/>
      </c>
    </row>
    <row r="696" customFormat="false" ht="15" hidden="false" customHeight="false" outlineLevel="0" collapsed="false">
      <c r="A696" s="19" t="n">
        <f aca="false">A695+1</f>
        <v>694</v>
      </c>
      <c r="B696" s="19" t="n">
        <f aca="false">IF($A696="","",ROUNDUP($A696/12,0))</f>
        <v>58</v>
      </c>
      <c r="C696" s="19" t="n">
        <f aca="false">IF($A696="","",PARAMETROS!$C$6+INT(($A696-1)/12))</f>
        <v>122</v>
      </c>
      <c r="D696" s="19" t="n">
        <f aca="false">IF($A696="","",MOD($A696-1,12)+1)</f>
        <v>10</v>
      </c>
      <c r="E696" s="20" t="str">
        <f aca="false">IF($A696&gt;PARAMETROS!$C$33,"",P695)</f>
        <v/>
      </c>
      <c r="F696" s="21" t="str">
        <f aca="false">IF($A696&gt;PARAMETROS!$C$33,"",PARAMETROS!$C$38)</f>
        <v/>
      </c>
      <c r="G696" s="20" t="str">
        <f aca="false">IF($A696&gt;PARAMETROS!$C$33,"",E696*F696)</f>
        <v/>
      </c>
      <c r="H696" s="20" t="str">
        <f aca="false">IF($A696&gt;PARAMETROS!$C$33,"",E696*PARAMETROS!$C$39)</f>
        <v/>
      </c>
      <c r="I696" s="20" t="str">
        <f aca="false">IF($A696&gt;PARAMETROS!$C$33,"",G696-H696)</f>
        <v/>
      </c>
      <c r="J696" s="20" t="str">
        <f aca="false">IF($A696&gt;PARAMETROS!$C$33,"",PARAMETROS!$C$9*(1+PARAMETROS!$C$17)^(B696-1))</f>
        <v/>
      </c>
      <c r="K696" s="20" t="str">
        <f aca="false">IF($A696&gt;PARAMETROS!$C$33,"",K695*(1+PARAMETROS!$C$36))</f>
        <v/>
      </c>
      <c r="L696" s="20" t="str">
        <f aca="false">IF($A696&gt;PARAMETROS!$C$33,"",L695*(1+PARAMETROS!$C$37)*(1+M696))</f>
        <v/>
      </c>
      <c r="M696" s="21" t="str">
        <f aca="false">IF($A696&gt;PARAMETROS!$C$33,"",IF(C696&lt;70,PARAMETROS!$C$40,IF(C696&lt;75,PARAMETROS!$C$41,IF(C696&lt;80,PARAMETROS!$C$42,IF(C696&lt;85,PARAMETROS!$C$43,IF(C696&lt;90,PARAMETROS!$C$44,PARAMETROS!$C$45))))))</f>
        <v/>
      </c>
      <c r="N696" s="20" t="str">
        <f aca="false">IF($A696&gt;PARAMETROS!$C$33,"",K696+L696)</f>
        <v/>
      </c>
      <c r="O696" s="20" t="str">
        <f aca="false">IF($A696&gt;PARAMETROS!$C$33,"",I696+J696-N696)</f>
        <v/>
      </c>
      <c r="P696" s="20" t="str">
        <f aca="false">IF($A696&gt;PARAMETROS!$C$33,"",MAX(E696+I696+J696-N696,0))</f>
        <v/>
      </c>
      <c r="Q696" s="22" t="str">
        <f aca="false">IF($A696&gt;PARAMETROS!$C$33,"",IF(P696&lt;=0,"AGOTADO","OK"))</f>
        <v/>
      </c>
    </row>
    <row r="697" customFormat="false" ht="15" hidden="false" customHeight="false" outlineLevel="0" collapsed="false">
      <c r="A697" s="19" t="n">
        <f aca="false">A696+1</f>
        <v>695</v>
      </c>
      <c r="B697" s="19" t="n">
        <f aca="false">IF($A697="","",ROUNDUP($A697/12,0))</f>
        <v>58</v>
      </c>
      <c r="C697" s="19" t="n">
        <f aca="false">IF($A697="","",PARAMETROS!$C$6+INT(($A697-1)/12))</f>
        <v>122</v>
      </c>
      <c r="D697" s="19" t="n">
        <f aca="false">IF($A697="","",MOD($A697-1,12)+1)</f>
        <v>11</v>
      </c>
      <c r="E697" s="20" t="str">
        <f aca="false">IF($A697&gt;PARAMETROS!$C$33,"",P696)</f>
        <v/>
      </c>
      <c r="F697" s="21" t="str">
        <f aca="false">IF($A697&gt;PARAMETROS!$C$33,"",PARAMETROS!$C$38)</f>
        <v/>
      </c>
      <c r="G697" s="20" t="str">
        <f aca="false">IF($A697&gt;PARAMETROS!$C$33,"",E697*F697)</f>
        <v/>
      </c>
      <c r="H697" s="20" t="str">
        <f aca="false">IF($A697&gt;PARAMETROS!$C$33,"",E697*PARAMETROS!$C$39)</f>
        <v/>
      </c>
      <c r="I697" s="20" t="str">
        <f aca="false">IF($A697&gt;PARAMETROS!$C$33,"",G697-H697)</f>
        <v/>
      </c>
      <c r="J697" s="20" t="str">
        <f aca="false">IF($A697&gt;PARAMETROS!$C$33,"",PARAMETROS!$C$9*(1+PARAMETROS!$C$17)^(B697-1))</f>
        <v/>
      </c>
      <c r="K697" s="20" t="str">
        <f aca="false">IF($A697&gt;PARAMETROS!$C$33,"",K696*(1+PARAMETROS!$C$36))</f>
        <v/>
      </c>
      <c r="L697" s="20" t="str">
        <f aca="false">IF($A697&gt;PARAMETROS!$C$33,"",L696*(1+PARAMETROS!$C$37)*(1+M697))</f>
        <v/>
      </c>
      <c r="M697" s="21" t="str">
        <f aca="false">IF($A697&gt;PARAMETROS!$C$33,"",IF(C697&lt;70,PARAMETROS!$C$40,IF(C697&lt;75,PARAMETROS!$C$41,IF(C697&lt;80,PARAMETROS!$C$42,IF(C697&lt;85,PARAMETROS!$C$43,IF(C697&lt;90,PARAMETROS!$C$44,PARAMETROS!$C$45))))))</f>
        <v/>
      </c>
      <c r="N697" s="20" t="str">
        <f aca="false">IF($A697&gt;PARAMETROS!$C$33,"",K697+L697)</f>
        <v/>
      </c>
      <c r="O697" s="20" t="str">
        <f aca="false">IF($A697&gt;PARAMETROS!$C$33,"",I697+J697-N697)</f>
        <v/>
      </c>
      <c r="P697" s="20" t="str">
        <f aca="false">IF($A697&gt;PARAMETROS!$C$33,"",MAX(E697+I697+J697-N697,0))</f>
        <v/>
      </c>
      <c r="Q697" s="22" t="str">
        <f aca="false">IF($A697&gt;PARAMETROS!$C$33,"",IF(P697&lt;=0,"AGOTADO","OK"))</f>
        <v/>
      </c>
    </row>
    <row r="698" customFormat="false" ht="15" hidden="false" customHeight="false" outlineLevel="0" collapsed="false">
      <c r="A698" s="19" t="n">
        <f aca="false">A697+1</f>
        <v>696</v>
      </c>
      <c r="B698" s="19" t="n">
        <f aca="false">IF($A698="","",ROUNDUP($A698/12,0))</f>
        <v>58</v>
      </c>
      <c r="C698" s="19" t="n">
        <f aca="false">IF($A698="","",PARAMETROS!$C$6+INT(($A698-1)/12))</f>
        <v>122</v>
      </c>
      <c r="D698" s="19" t="n">
        <f aca="false">IF($A698="","",MOD($A698-1,12)+1)</f>
        <v>12</v>
      </c>
      <c r="E698" s="20" t="str">
        <f aca="false">IF($A698&gt;PARAMETROS!$C$33,"",P697)</f>
        <v/>
      </c>
      <c r="F698" s="21" t="str">
        <f aca="false">IF($A698&gt;PARAMETROS!$C$33,"",PARAMETROS!$C$38)</f>
        <v/>
      </c>
      <c r="G698" s="20" t="str">
        <f aca="false">IF($A698&gt;PARAMETROS!$C$33,"",E698*F698)</f>
        <v/>
      </c>
      <c r="H698" s="20" t="str">
        <f aca="false">IF($A698&gt;PARAMETROS!$C$33,"",E698*PARAMETROS!$C$39)</f>
        <v/>
      </c>
      <c r="I698" s="20" t="str">
        <f aca="false">IF($A698&gt;PARAMETROS!$C$33,"",G698-H698)</f>
        <v/>
      </c>
      <c r="J698" s="20" t="str">
        <f aca="false">IF($A698&gt;PARAMETROS!$C$33,"",PARAMETROS!$C$9*(1+PARAMETROS!$C$17)^(B698-1))</f>
        <v/>
      </c>
      <c r="K698" s="20" t="str">
        <f aca="false">IF($A698&gt;PARAMETROS!$C$33,"",K697*(1+PARAMETROS!$C$36))</f>
        <v/>
      </c>
      <c r="L698" s="20" t="str">
        <f aca="false">IF($A698&gt;PARAMETROS!$C$33,"",L697*(1+PARAMETROS!$C$37)*(1+M698))</f>
        <v/>
      </c>
      <c r="M698" s="21" t="str">
        <f aca="false">IF($A698&gt;PARAMETROS!$C$33,"",IF(C698&lt;70,PARAMETROS!$C$40,IF(C698&lt;75,PARAMETROS!$C$41,IF(C698&lt;80,PARAMETROS!$C$42,IF(C698&lt;85,PARAMETROS!$C$43,IF(C698&lt;90,PARAMETROS!$C$44,PARAMETROS!$C$45))))))</f>
        <v/>
      </c>
      <c r="N698" s="20" t="str">
        <f aca="false">IF($A698&gt;PARAMETROS!$C$33,"",K698+L698)</f>
        <v/>
      </c>
      <c r="O698" s="20" t="str">
        <f aca="false">IF($A698&gt;PARAMETROS!$C$33,"",I698+J698-N698)</f>
        <v/>
      </c>
      <c r="P698" s="20" t="str">
        <f aca="false">IF($A698&gt;PARAMETROS!$C$33,"",MAX(E698+I698+J698-N698,0))</f>
        <v/>
      </c>
      <c r="Q698" s="22" t="str">
        <f aca="false">IF($A698&gt;PARAMETROS!$C$33,"",IF(P698&lt;=0,"AGOTADO","OK"))</f>
        <v/>
      </c>
    </row>
    <row r="699" customFormat="false" ht="15" hidden="false" customHeight="false" outlineLevel="0" collapsed="false">
      <c r="A699" s="15" t="n">
        <f aca="false">A698+1</f>
        <v>697</v>
      </c>
      <c r="B699" s="15" t="n">
        <f aca="false">IF($A699="","",ROUNDUP($A699/12,0))</f>
        <v>59</v>
      </c>
      <c r="C699" s="15" t="n">
        <f aca="false">IF($A699="","",PARAMETROS!$C$6+INT(($A699-1)/12))</f>
        <v>123</v>
      </c>
      <c r="D699" s="15" t="n">
        <f aca="false">IF($A699="","",MOD($A699-1,12)+1)</f>
        <v>1</v>
      </c>
      <c r="E699" s="16" t="str">
        <f aca="false">IF($A699&gt;PARAMETROS!$C$33,"",P698)</f>
        <v/>
      </c>
      <c r="F699" s="17" t="str">
        <f aca="false">IF($A699&gt;PARAMETROS!$C$33,"",PARAMETROS!$C$38)</f>
        <v/>
      </c>
      <c r="G699" s="16" t="str">
        <f aca="false">IF($A699&gt;PARAMETROS!$C$33,"",E699*F699)</f>
        <v/>
      </c>
      <c r="H699" s="16" t="str">
        <f aca="false">IF($A699&gt;PARAMETROS!$C$33,"",E699*PARAMETROS!$C$39)</f>
        <v/>
      </c>
      <c r="I699" s="16" t="str">
        <f aca="false">IF($A699&gt;PARAMETROS!$C$33,"",G699-H699)</f>
        <v/>
      </c>
      <c r="J699" s="16" t="str">
        <f aca="false">IF($A699&gt;PARAMETROS!$C$33,"",PARAMETROS!$C$9*(1+PARAMETROS!$C$17)^(B699-1))</f>
        <v/>
      </c>
      <c r="K699" s="16" t="str">
        <f aca="false">IF($A699&gt;PARAMETROS!$C$33,"",K698*(1+PARAMETROS!$C$36))</f>
        <v/>
      </c>
      <c r="L699" s="16" t="str">
        <f aca="false">IF($A699&gt;PARAMETROS!$C$33,"",L698*(1+PARAMETROS!$C$37)*(1+M699))</f>
        <v/>
      </c>
      <c r="M699" s="17" t="str">
        <f aca="false">IF($A699&gt;PARAMETROS!$C$33,"",IF(C699&lt;70,PARAMETROS!$C$40,IF(C699&lt;75,PARAMETROS!$C$41,IF(C699&lt;80,PARAMETROS!$C$42,IF(C699&lt;85,PARAMETROS!$C$43,IF(C699&lt;90,PARAMETROS!$C$44,PARAMETROS!$C$45))))))</f>
        <v/>
      </c>
      <c r="N699" s="16" t="str">
        <f aca="false">IF($A699&gt;PARAMETROS!$C$33,"",K699+L699)</f>
        <v/>
      </c>
      <c r="O699" s="16" t="str">
        <f aca="false">IF($A699&gt;PARAMETROS!$C$33,"",I699+J699-N699)</f>
        <v/>
      </c>
      <c r="P699" s="16" t="str">
        <f aca="false">IF($A699&gt;PARAMETROS!$C$33,"",MAX(E699+I699+J699-N699,0))</f>
        <v/>
      </c>
      <c r="Q699" s="18" t="str">
        <f aca="false">IF($A699&gt;PARAMETROS!$C$33,"",IF(P699&lt;=0,"AGOTADO","OK"))</f>
        <v/>
      </c>
    </row>
    <row r="700" customFormat="false" ht="15" hidden="false" customHeight="false" outlineLevel="0" collapsed="false">
      <c r="A700" s="15" t="n">
        <f aca="false">A699+1</f>
        <v>698</v>
      </c>
      <c r="B700" s="15" t="n">
        <f aca="false">IF($A700="","",ROUNDUP($A700/12,0))</f>
        <v>59</v>
      </c>
      <c r="C700" s="15" t="n">
        <f aca="false">IF($A700="","",PARAMETROS!$C$6+INT(($A700-1)/12))</f>
        <v>123</v>
      </c>
      <c r="D700" s="15" t="n">
        <f aca="false">IF($A700="","",MOD($A700-1,12)+1)</f>
        <v>2</v>
      </c>
      <c r="E700" s="16" t="str">
        <f aca="false">IF($A700&gt;PARAMETROS!$C$33,"",P699)</f>
        <v/>
      </c>
      <c r="F700" s="17" t="str">
        <f aca="false">IF($A700&gt;PARAMETROS!$C$33,"",PARAMETROS!$C$38)</f>
        <v/>
      </c>
      <c r="G700" s="16" t="str">
        <f aca="false">IF($A700&gt;PARAMETROS!$C$33,"",E700*F700)</f>
        <v/>
      </c>
      <c r="H700" s="16" t="str">
        <f aca="false">IF($A700&gt;PARAMETROS!$C$33,"",E700*PARAMETROS!$C$39)</f>
        <v/>
      </c>
      <c r="I700" s="16" t="str">
        <f aca="false">IF($A700&gt;PARAMETROS!$C$33,"",G700-H700)</f>
        <v/>
      </c>
      <c r="J700" s="16" t="str">
        <f aca="false">IF($A700&gt;PARAMETROS!$C$33,"",PARAMETROS!$C$9*(1+PARAMETROS!$C$17)^(B700-1))</f>
        <v/>
      </c>
      <c r="K700" s="16" t="str">
        <f aca="false">IF($A700&gt;PARAMETROS!$C$33,"",K699*(1+PARAMETROS!$C$36))</f>
        <v/>
      </c>
      <c r="L700" s="16" t="str">
        <f aca="false">IF($A700&gt;PARAMETROS!$C$33,"",L699*(1+PARAMETROS!$C$37)*(1+M700))</f>
        <v/>
      </c>
      <c r="M700" s="17" t="str">
        <f aca="false">IF($A700&gt;PARAMETROS!$C$33,"",IF(C700&lt;70,PARAMETROS!$C$40,IF(C700&lt;75,PARAMETROS!$C$41,IF(C700&lt;80,PARAMETROS!$C$42,IF(C700&lt;85,PARAMETROS!$C$43,IF(C700&lt;90,PARAMETROS!$C$44,PARAMETROS!$C$45))))))</f>
        <v/>
      </c>
      <c r="N700" s="16" t="str">
        <f aca="false">IF($A700&gt;PARAMETROS!$C$33,"",K700+L700)</f>
        <v/>
      </c>
      <c r="O700" s="16" t="str">
        <f aca="false">IF($A700&gt;PARAMETROS!$C$33,"",I700+J700-N700)</f>
        <v/>
      </c>
      <c r="P700" s="16" t="str">
        <f aca="false">IF($A700&gt;PARAMETROS!$C$33,"",MAX(E700+I700+J700-N700,0))</f>
        <v/>
      </c>
      <c r="Q700" s="18" t="str">
        <f aca="false">IF($A700&gt;PARAMETROS!$C$33,"",IF(P700&lt;=0,"AGOTADO","OK"))</f>
        <v/>
      </c>
    </row>
    <row r="701" customFormat="false" ht="15" hidden="false" customHeight="false" outlineLevel="0" collapsed="false">
      <c r="A701" s="15" t="n">
        <f aca="false">A700+1</f>
        <v>699</v>
      </c>
      <c r="B701" s="15" t="n">
        <f aca="false">IF($A701="","",ROUNDUP($A701/12,0))</f>
        <v>59</v>
      </c>
      <c r="C701" s="15" t="n">
        <f aca="false">IF($A701="","",PARAMETROS!$C$6+INT(($A701-1)/12))</f>
        <v>123</v>
      </c>
      <c r="D701" s="15" t="n">
        <f aca="false">IF($A701="","",MOD($A701-1,12)+1)</f>
        <v>3</v>
      </c>
      <c r="E701" s="16" t="str">
        <f aca="false">IF($A701&gt;PARAMETROS!$C$33,"",P700)</f>
        <v/>
      </c>
      <c r="F701" s="17" t="str">
        <f aca="false">IF($A701&gt;PARAMETROS!$C$33,"",PARAMETROS!$C$38)</f>
        <v/>
      </c>
      <c r="G701" s="16" t="str">
        <f aca="false">IF($A701&gt;PARAMETROS!$C$33,"",E701*F701)</f>
        <v/>
      </c>
      <c r="H701" s="16" t="str">
        <f aca="false">IF($A701&gt;PARAMETROS!$C$33,"",E701*PARAMETROS!$C$39)</f>
        <v/>
      </c>
      <c r="I701" s="16" t="str">
        <f aca="false">IF($A701&gt;PARAMETROS!$C$33,"",G701-H701)</f>
        <v/>
      </c>
      <c r="J701" s="16" t="str">
        <f aca="false">IF($A701&gt;PARAMETROS!$C$33,"",PARAMETROS!$C$9*(1+PARAMETROS!$C$17)^(B701-1))</f>
        <v/>
      </c>
      <c r="K701" s="16" t="str">
        <f aca="false">IF($A701&gt;PARAMETROS!$C$33,"",K700*(1+PARAMETROS!$C$36))</f>
        <v/>
      </c>
      <c r="L701" s="16" t="str">
        <f aca="false">IF($A701&gt;PARAMETROS!$C$33,"",L700*(1+PARAMETROS!$C$37)*(1+M701))</f>
        <v/>
      </c>
      <c r="M701" s="17" t="str">
        <f aca="false">IF($A701&gt;PARAMETROS!$C$33,"",IF(C701&lt;70,PARAMETROS!$C$40,IF(C701&lt;75,PARAMETROS!$C$41,IF(C701&lt;80,PARAMETROS!$C$42,IF(C701&lt;85,PARAMETROS!$C$43,IF(C701&lt;90,PARAMETROS!$C$44,PARAMETROS!$C$45))))))</f>
        <v/>
      </c>
      <c r="N701" s="16" t="str">
        <f aca="false">IF($A701&gt;PARAMETROS!$C$33,"",K701+L701)</f>
        <v/>
      </c>
      <c r="O701" s="16" t="str">
        <f aca="false">IF($A701&gt;PARAMETROS!$C$33,"",I701+J701-N701)</f>
        <v/>
      </c>
      <c r="P701" s="16" t="str">
        <f aca="false">IF($A701&gt;PARAMETROS!$C$33,"",MAX(E701+I701+J701-N701,0))</f>
        <v/>
      </c>
      <c r="Q701" s="18" t="str">
        <f aca="false">IF($A701&gt;PARAMETROS!$C$33,"",IF(P701&lt;=0,"AGOTADO","OK"))</f>
        <v/>
      </c>
    </row>
    <row r="702" customFormat="false" ht="15" hidden="false" customHeight="false" outlineLevel="0" collapsed="false">
      <c r="A702" s="15" t="n">
        <f aca="false">A701+1</f>
        <v>700</v>
      </c>
      <c r="B702" s="15" t="n">
        <f aca="false">IF($A702="","",ROUNDUP($A702/12,0))</f>
        <v>59</v>
      </c>
      <c r="C702" s="15" t="n">
        <f aca="false">IF($A702="","",PARAMETROS!$C$6+INT(($A702-1)/12))</f>
        <v>123</v>
      </c>
      <c r="D702" s="15" t="n">
        <f aca="false">IF($A702="","",MOD($A702-1,12)+1)</f>
        <v>4</v>
      </c>
      <c r="E702" s="16" t="str">
        <f aca="false">IF($A702&gt;PARAMETROS!$C$33,"",P701)</f>
        <v/>
      </c>
      <c r="F702" s="17" t="str">
        <f aca="false">IF($A702&gt;PARAMETROS!$C$33,"",PARAMETROS!$C$38)</f>
        <v/>
      </c>
      <c r="G702" s="16" t="str">
        <f aca="false">IF($A702&gt;PARAMETROS!$C$33,"",E702*F702)</f>
        <v/>
      </c>
      <c r="H702" s="16" t="str">
        <f aca="false">IF($A702&gt;PARAMETROS!$C$33,"",E702*PARAMETROS!$C$39)</f>
        <v/>
      </c>
      <c r="I702" s="16" t="str">
        <f aca="false">IF($A702&gt;PARAMETROS!$C$33,"",G702-H702)</f>
        <v/>
      </c>
      <c r="J702" s="16" t="str">
        <f aca="false">IF($A702&gt;PARAMETROS!$C$33,"",PARAMETROS!$C$9*(1+PARAMETROS!$C$17)^(B702-1))</f>
        <v/>
      </c>
      <c r="K702" s="16" t="str">
        <f aca="false">IF($A702&gt;PARAMETROS!$C$33,"",K701*(1+PARAMETROS!$C$36))</f>
        <v/>
      </c>
      <c r="L702" s="16" t="str">
        <f aca="false">IF($A702&gt;PARAMETROS!$C$33,"",L701*(1+PARAMETROS!$C$37)*(1+M702))</f>
        <v/>
      </c>
      <c r="M702" s="17" t="str">
        <f aca="false">IF($A702&gt;PARAMETROS!$C$33,"",IF(C702&lt;70,PARAMETROS!$C$40,IF(C702&lt;75,PARAMETROS!$C$41,IF(C702&lt;80,PARAMETROS!$C$42,IF(C702&lt;85,PARAMETROS!$C$43,IF(C702&lt;90,PARAMETROS!$C$44,PARAMETROS!$C$45))))))</f>
        <v/>
      </c>
      <c r="N702" s="16" t="str">
        <f aca="false">IF($A702&gt;PARAMETROS!$C$33,"",K702+L702)</f>
        <v/>
      </c>
      <c r="O702" s="16" t="str">
        <f aca="false">IF($A702&gt;PARAMETROS!$C$33,"",I702+J702-N702)</f>
        <v/>
      </c>
      <c r="P702" s="16" t="str">
        <f aca="false">IF($A702&gt;PARAMETROS!$C$33,"",MAX(E702+I702+J702-N702,0))</f>
        <v/>
      </c>
      <c r="Q702" s="18" t="str">
        <f aca="false">IF($A702&gt;PARAMETROS!$C$33,"",IF(P702&lt;=0,"AGOTADO","OK"))</f>
        <v/>
      </c>
    </row>
    <row r="703" customFormat="false" ht="15" hidden="false" customHeight="false" outlineLevel="0" collapsed="false">
      <c r="A703" s="15" t="n">
        <f aca="false">A702+1</f>
        <v>701</v>
      </c>
      <c r="B703" s="15" t="n">
        <f aca="false">IF($A703="","",ROUNDUP($A703/12,0))</f>
        <v>59</v>
      </c>
      <c r="C703" s="15" t="n">
        <f aca="false">IF($A703="","",PARAMETROS!$C$6+INT(($A703-1)/12))</f>
        <v>123</v>
      </c>
      <c r="D703" s="15" t="n">
        <f aca="false">IF($A703="","",MOD($A703-1,12)+1)</f>
        <v>5</v>
      </c>
      <c r="E703" s="16" t="str">
        <f aca="false">IF($A703&gt;PARAMETROS!$C$33,"",P702)</f>
        <v/>
      </c>
      <c r="F703" s="17" t="str">
        <f aca="false">IF($A703&gt;PARAMETROS!$C$33,"",PARAMETROS!$C$38)</f>
        <v/>
      </c>
      <c r="G703" s="16" t="str">
        <f aca="false">IF($A703&gt;PARAMETROS!$C$33,"",E703*F703)</f>
        <v/>
      </c>
      <c r="H703" s="16" t="str">
        <f aca="false">IF($A703&gt;PARAMETROS!$C$33,"",E703*PARAMETROS!$C$39)</f>
        <v/>
      </c>
      <c r="I703" s="16" t="str">
        <f aca="false">IF($A703&gt;PARAMETROS!$C$33,"",G703-H703)</f>
        <v/>
      </c>
      <c r="J703" s="16" t="str">
        <f aca="false">IF($A703&gt;PARAMETROS!$C$33,"",PARAMETROS!$C$9*(1+PARAMETROS!$C$17)^(B703-1))</f>
        <v/>
      </c>
      <c r="K703" s="16" t="str">
        <f aca="false">IF($A703&gt;PARAMETROS!$C$33,"",K702*(1+PARAMETROS!$C$36))</f>
        <v/>
      </c>
      <c r="L703" s="16" t="str">
        <f aca="false">IF($A703&gt;PARAMETROS!$C$33,"",L702*(1+PARAMETROS!$C$37)*(1+M703))</f>
        <v/>
      </c>
      <c r="M703" s="17" t="str">
        <f aca="false">IF($A703&gt;PARAMETROS!$C$33,"",IF(C703&lt;70,PARAMETROS!$C$40,IF(C703&lt;75,PARAMETROS!$C$41,IF(C703&lt;80,PARAMETROS!$C$42,IF(C703&lt;85,PARAMETROS!$C$43,IF(C703&lt;90,PARAMETROS!$C$44,PARAMETROS!$C$45))))))</f>
        <v/>
      </c>
      <c r="N703" s="16" t="str">
        <f aca="false">IF($A703&gt;PARAMETROS!$C$33,"",K703+L703)</f>
        <v/>
      </c>
      <c r="O703" s="16" t="str">
        <f aca="false">IF($A703&gt;PARAMETROS!$C$33,"",I703+J703-N703)</f>
        <v/>
      </c>
      <c r="P703" s="16" t="str">
        <f aca="false">IF($A703&gt;PARAMETROS!$C$33,"",MAX(E703+I703+J703-N703,0))</f>
        <v/>
      </c>
      <c r="Q703" s="18" t="str">
        <f aca="false">IF($A703&gt;PARAMETROS!$C$33,"",IF(P703&lt;=0,"AGOTADO","OK"))</f>
        <v/>
      </c>
    </row>
    <row r="704" customFormat="false" ht="15" hidden="false" customHeight="false" outlineLevel="0" collapsed="false">
      <c r="A704" s="15" t="n">
        <f aca="false">A703+1</f>
        <v>702</v>
      </c>
      <c r="B704" s="15" t="n">
        <f aca="false">IF($A704="","",ROUNDUP($A704/12,0))</f>
        <v>59</v>
      </c>
      <c r="C704" s="15" t="n">
        <f aca="false">IF($A704="","",PARAMETROS!$C$6+INT(($A704-1)/12))</f>
        <v>123</v>
      </c>
      <c r="D704" s="15" t="n">
        <f aca="false">IF($A704="","",MOD($A704-1,12)+1)</f>
        <v>6</v>
      </c>
      <c r="E704" s="16" t="str">
        <f aca="false">IF($A704&gt;PARAMETROS!$C$33,"",P703)</f>
        <v/>
      </c>
      <c r="F704" s="17" t="str">
        <f aca="false">IF($A704&gt;PARAMETROS!$C$33,"",PARAMETROS!$C$38)</f>
        <v/>
      </c>
      <c r="G704" s="16" t="str">
        <f aca="false">IF($A704&gt;PARAMETROS!$C$33,"",E704*F704)</f>
        <v/>
      </c>
      <c r="H704" s="16" t="str">
        <f aca="false">IF($A704&gt;PARAMETROS!$C$33,"",E704*PARAMETROS!$C$39)</f>
        <v/>
      </c>
      <c r="I704" s="16" t="str">
        <f aca="false">IF($A704&gt;PARAMETROS!$C$33,"",G704-H704)</f>
        <v/>
      </c>
      <c r="J704" s="16" t="str">
        <f aca="false">IF($A704&gt;PARAMETROS!$C$33,"",PARAMETROS!$C$9*(1+PARAMETROS!$C$17)^(B704-1))</f>
        <v/>
      </c>
      <c r="K704" s="16" t="str">
        <f aca="false">IF($A704&gt;PARAMETROS!$C$33,"",K703*(1+PARAMETROS!$C$36))</f>
        <v/>
      </c>
      <c r="L704" s="16" t="str">
        <f aca="false">IF($A704&gt;PARAMETROS!$C$33,"",L703*(1+PARAMETROS!$C$37)*(1+M704))</f>
        <v/>
      </c>
      <c r="M704" s="17" t="str">
        <f aca="false">IF($A704&gt;PARAMETROS!$C$33,"",IF(C704&lt;70,PARAMETROS!$C$40,IF(C704&lt;75,PARAMETROS!$C$41,IF(C704&lt;80,PARAMETROS!$C$42,IF(C704&lt;85,PARAMETROS!$C$43,IF(C704&lt;90,PARAMETROS!$C$44,PARAMETROS!$C$45))))))</f>
        <v/>
      </c>
      <c r="N704" s="16" t="str">
        <f aca="false">IF($A704&gt;PARAMETROS!$C$33,"",K704+L704)</f>
        <v/>
      </c>
      <c r="O704" s="16" t="str">
        <f aca="false">IF($A704&gt;PARAMETROS!$C$33,"",I704+J704-N704)</f>
        <v/>
      </c>
      <c r="P704" s="16" t="str">
        <f aca="false">IF($A704&gt;PARAMETROS!$C$33,"",MAX(E704+I704+J704-N704,0))</f>
        <v/>
      </c>
      <c r="Q704" s="18" t="str">
        <f aca="false">IF($A704&gt;PARAMETROS!$C$33,"",IF(P704&lt;=0,"AGOTADO","OK"))</f>
        <v/>
      </c>
    </row>
    <row r="705" customFormat="false" ht="15" hidden="false" customHeight="false" outlineLevel="0" collapsed="false">
      <c r="A705" s="15" t="n">
        <f aca="false">A704+1</f>
        <v>703</v>
      </c>
      <c r="B705" s="15" t="n">
        <f aca="false">IF($A705="","",ROUNDUP($A705/12,0))</f>
        <v>59</v>
      </c>
      <c r="C705" s="15" t="n">
        <f aca="false">IF($A705="","",PARAMETROS!$C$6+INT(($A705-1)/12))</f>
        <v>123</v>
      </c>
      <c r="D705" s="15" t="n">
        <f aca="false">IF($A705="","",MOD($A705-1,12)+1)</f>
        <v>7</v>
      </c>
      <c r="E705" s="16" t="str">
        <f aca="false">IF($A705&gt;PARAMETROS!$C$33,"",P704)</f>
        <v/>
      </c>
      <c r="F705" s="17" t="str">
        <f aca="false">IF($A705&gt;PARAMETROS!$C$33,"",PARAMETROS!$C$38)</f>
        <v/>
      </c>
      <c r="G705" s="16" t="str">
        <f aca="false">IF($A705&gt;PARAMETROS!$C$33,"",E705*F705)</f>
        <v/>
      </c>
      <c r="H705" s="16" t="str">
        <f aca="false">IF($A705&gt;PARAMETROS!$C$33,"",E705*PARAMETROS!$C$39)</f>
        <v/>
      </c>
      <c r="I705" s="16" t="str">
        <f aca="false">IF($A705&gt;PARAMETROS!$C$33,"",G705-H705)</f>
        <v/>
      </c>
      <c r="J705" s="16" t="str">
        <f aca="false">IF($A705&gt;PARAMETROS!$C$33,"",PARAMETROS!$C$9*(1+PARAMETROS!$C$17)^(B705-1))</f>
        <v/>
      </c>
      <c r="K705" s="16" t="str">
        <f aca="false">IF($A705&gt;PARAMETROS!$C$33,"",K704*(1+PARAMETROS!$C$36))</f>
        <v/>
      </c>
      <c r="L705" s="16" t="str">
        <f aca="false">IF($A705&gt;PARAMETROS!$C$33,"",L704*(1+PARAMETROS!$C$37)*(1+M705))</f>
        <v/>
      </c>
      <c r="M705" s="17" t="str">
        <f aca="false">IF($A705&gt;PARAMETROS!$C$33,"",IF(C705&lt;70,PARAMETROS!$C$40,IF(C705&lt;75,PARAMETROS!$C$41,IF(C705&lt;80,PARAMETROS!$C$42,IF(C705&lt;85,PARAMETROS!$C$43,IF(C705&lt;90,PARAMETROS!$C$44,PARAMETROS!$C$45))))))</f>
        <v/>
      </c>
      <c r="N705" s="16" t="str">
        <f aca="false">IF($A705&gt;PARAMETROS!$C$33,"",K705+L705)</f>
        <v/>
      </c>
      <c r="O705" s="16" t="str">
        <f aca="false">IF($A705&gt;PARAMETROS!$C$33,"",I705+J705-N705)</f>
        <v/>
      </c>
      <c r="P705" s="16" t="str">
        <f aca="false">IF($A705&gt;PARAMETROS!$C$33,"",MAX(E705+I705+J705-N705,0))</f>
        <v/>
      </c>
      <c r="Q705" s="18" t="str">
        <f aca="false">IF($A705&gt;PARAMETROS!$C$33,"",IF(P705&lt;=0,"AGOTADO","OK"))</f>
        <v/>
      </c>
    </row>
    <row r="706" customFormat="false" ht="15" hidden="false" customHeight="false" outlineLevel="0" collapsed="false">
      <c r="A706" s="15" t="n">
        <f aca="false">A705+1</f>
        <v>704</v>
      </c>
      <c r="B706" s="15" t="n">
        <f aca="false">IF($A706="","",ROUNDUP($A706/12,0))</f>
        <v>59</v>
      </c>
      <c r="C706" s="15" t="n">
        <f aca="false">IF($A706="","",PARAMETROS!$C$6+INT(($A706-1)/12))</f>
        <v>123</v>
      </c>
      <c r="D706" s="15" t="n">
        <f aca="false">IF($A706="","",MOD($A706-1,12)+1)</f>
        <v>8</v>
      </c>
      <c r="E706" s="16" t="str">
        <f aca="false">IF($A706&gt;PARAMETROS!$C$33,"",P705)</f>
        <v/>
      </c>
      <c r="F706" s="17" t="str">
        <f aca="false">IF($A706&gt;PARAMETROS!$C$33,"",PARAMETROS!$C$38)</f>
        <v/>
      </c>
      <c r="G706" s="16" t="str">
        <f aca="false">IF($A706&gt;PARAMETROS!$C$33,"",E706*F706)</f>
        <v/>
      </c>
      <c r="H706" s="16" t="str">
        <f aca="false">IF($A706&gt;PARAMETROS!$C$33,"",E706*PARAMETROS!$C$39)</f>
        <v/>
      </c>
      <c r="I706" s="16" t="str">
        <f aca="false">IF($A706&gt;PARAMETROS!$C$33,"",G706-H706)</f>
        <v/>
      </c>
      <c r="J706" s="16" t="str">
        <f aca="false">IF($A706&gt;PARAMETROS!$C$33,"",PARAMETROS!$C$9*(1+PARAMETROS!$C$17)^(B706-1))</f>
        <v/>
      </c>
      <c r="K706" s="16" t="str">
        <f aca="false">IF($A706&gt;PARAMETROS!$C$33,"",K705*(1+PARAMETROS!$C$36))</f>
        <v/>
      </c>
      <c r="L706" s="16" t="str">
        <f aca="false">IF($A706&gt;PARAMETROS!$C$33,"",L705*(1+PARAMETROS!$C$37)*(1+M706))</f>
        <v/>
      </c>
      <c r="M706" s="17" t="str">
        <f aca="false">IF($A706&gt;PARAMETROS!$C$33,"",IF(C706&lt;70,PARAMETROS!$C$40,IF(C706&lt;75,PARAMETROS!$C$41,IF(C706&lt;80,PARAMETROS!$C$42,IF(C706&lt;85,PARAMETROS!$C$43,IF(C706&lt;90,PARAMETROS!$C$44,PARAMETROS!$C$45))))))</f>
        <v/>
      </c>
      <c r="N706" s="16" t="str">
        <f aca="false">IF($A706&gt;PARAMETROS!$C$33,"",K706+L706)</f>
        <v/>
      </c>
      <c r="O706" s="16" t="str">
        <f aca="false">IF($A706&gt;PARAMETROS!$C$33,"",I706+J706-N706)</f>
        <v/>
      </c>
      <c r="P706" s="16" t="str">
        <f aca="false">IF($A706&gt;PARAMETROS!$C$33,"",MAX(E706+I706+J706-N706,0))</f>
        <v/>
      </c>
      <c r="Q706" s="18" t="str">
        <f aca="false">IF($A706&gt;PARAMETROS!$C$33,"",IF(P706&lt;=0,"AGOTADO","OK"))</f>
        <v/>
      </c>
    </row>
    <row r="707" customFormat="false" ht="15" hidden="false" customHeight="false" outlineLevel="0" collapsed="false">
      <c r="A707" s="15" t="n">
        <f aca="false">A706+1</f>
        <v>705</v>
      </c>
      <c r="B707" s="15" t="n">
        <f aca="false">IF($A707="","",ROUNDUP($A707/12,0))</f>
        <v>59</v>
      </c>
      <c r="C707" s="15" t="n">
        <f aca="false">IF($A707="","",PARAMETROS!$C$6+INT(($A707-1)/12))</f>
        <v>123</v>
      </c>
      <c r="D707" s="15" t="n">
        <f aca="false">IF($A707="","",MOD($A707-1,12)+1)</f>
        <v>9</v>
      </c>
      <c r="E707" s="16" t="str">
        <f aca="false">IF($A707&gt;PARAMETROS!$C$33,"",P706)</f>
        <v/>
      </c>
      <c r="F707" s="17" t="str">
        <f aca="false">IF($A707&gt;PARAMETROS!$C$33,"",PARAMETROS!$C$38)</f>
        <v/>
      </c>
      <c r="G707" s="16" t="str">
        <f aca="false">IF($A707&gt;PARAMETROS!$C$33,"",E707*F707)</f>
        <v/>
      </c>
      <c r="H707" s="16" t="str">
        <f aca="false">IF($A707&gt;PARAMETROS!$C$33,"",E707*PARAMETROS!$C$39)</f>
        <v/>
      </c>
      <c r="I707" s="16" t="str">
        <f aca="false">IF($A707&gt;PARAMETROS!$C$33,"",G707-H707)</f>
        <v/>
      </c>
      <c r="J707" s="16" t="str">
        <f aca="false">IF($A707&gt;PARAMETROS!$C$33,"",PARAMETROS!$C$9*(1+PARAMETROS!$C$17)^(B707-1))</f>
        <v/>
      </c>
      <c r="K707" s="16" t="str">
        <f aca="false">IF($A707&gt;PARAMETROS!$C$33,"",K706*(1+PARAMETROS!$C$36))</f>
        <v/>
      </c>
      <c r="L707" s="16" t="str">
        <f aca="false">IF($A707&gt;PARAMETROS!$C$33,"",L706*(1+PARAMETROS!$C$37)*(1+M707))</f>
        <v/>
      </c>
      <c r="M707" s="17" t="str">
        <f aca="false">IF($A707&gt;PARAMETROS!$C$33,"",IF(C707&lt;70,PARAMETROS!$C$40,IF(C707&lt;75,PARAMETROS!$C$41,IF(C707&lt;80,PARAMETROS!$C$42,IF(C707&lt;85,PARAMETROS!$C$43,IF(C707&lt;90,PARAMETROS!$C$44,PARAMETROS!$C$45))))))</f>
        <v/>
      </c>
      <c r="N707" s="16" t="str">
        <f aca="false">IF($A707&gt;PARAMETROS!$C$33,"",K707+L707)</f>
        <v/>
      </c>
      <c r="O707" s="16" t="str">
        <f aca="false">IF($A707&gt;PARAMETROS!$C$33,"",I707+J707-N707)</f>
        <v/>
      </c>
      <c r="P707" s="16" t="str">
        <f aca="false">IF($A707&gt;PARAMETROS!$C$33,"",MAX(E707+I707+J707-N707,0))</f>
        <v/>
      </c>
      <c r="Q707" s="18" t="str">
        <f aca="false">IF($A707&gt;PARAMETROS!$C$33,"",IF(P707&lt;=0,"AGOTADO","OK"))</f>
        <v/>
      </c>
    </row>
    <row r="708" customFormat="false" ht="15" hidden="false" customHeight="false" outlineLevel="0" collapsed="false">
      <c r="A708" s="15" t="n">
        <f aca="false">A707+1</f>
        <v>706</v>
      </c>
      <c r="B708" s="15" t="n">
        <f aca="false">IF($A708="","",ROUNDUP($A708/12,0))</f>
        <v>59</v>
      </c>
      <c r="C708" s="15" t="n">
        <f aca="false">IF($A708="","",PARAMETROS!$C$6+INT(($A708-1)/12))</f>
        <v>123</v>
      </c>
      <c r="D708" s="15" t="n">
        <f aca="false">IF($A708="","",MOD($A708-1,12)+1)</f>
        <v>10</v>
      </c>
      <c r="E708" s="16" t="str">
        <f aca="false">IF($A708&gt;PARAMETROS!$C$33,"",P707)</f>
        <v/>
      </c>
      <c r="F708" s="17" t="str">
        <f aca="false">IF($A708&gt;PARAMETROS!$C$33,"",PARAMETROS!$C$38)</f>
        <v/>
      </c>
      <c r="G708" s="16" t="str">
        <f aca="false">IF($A708&gt;PARAMETROS!$C$33,"",E708*F708)</f>
        <v/>
      </c>
      <c r="H708" s="16" t="str">
        <f aca="false">IF($A708&gt;PARAMETROS!$C$33,"",E708*PARAMETROS!$C$39)</f>
        <v/>
      </c>
      <c r="I708" s="16" t="str">
        <f aca="false">IF($A708&gt;PARAMETROS!$C$33,"",G708-H708)</f>
        <v/>
      </c>
      <c r="J708" s="16" t="str">
        <f aca="false">IF($A708&gt;PARAMETROS!$C$33,"",PARAMETROS!$C$9*(1+PARAMETROS!$C$17)^(B708-1))</f>
        <v/>
      </c>
      <c r="K708" s="16" t="str">
        <f aca="false">IF($A708&gt;PARAMETROS!$C$33,"",K707*(1+PARAMETROS!$C$36))</f>
        <v/>
      </c>
      <c r="L708" s="16" t="str">
        <f aca="false">IF($A708&gt;PARAMETROS!$C$33,"",L707*(1+PARAMETROS!$C$37)*(1+M708))</f>
        <v/>
      </c>
      <c r="M708" s="17" t="str">
        <f aca="false">IF($A708&gt;PARAMETROS!$C$33,"",IF(C708&lt;70,PARAMETROS!$C$40,IF(C708&lt;75,PARAMETROS!$C$41,IF(C708&lt;80,PARAMETROS!$C$42,IF(C708&lt;85,PARAMETROS!$C$43,IF(C708&lt;90,PARAMETROS!$C$44,PARAMETROS!$C$45))))))</f>
        <v/>
      </c>
      <c r="N708" s="16" t="str">
        <f aca="false">IF($A708&gt;PARAMETROS!$C$33,"",K708+L708)</f>
        <v/>
      </c>
      <c r="O708" s="16" t="str">
        <f aca="false">IF($A708&gt;PARAMETROS!$C$33,"",I708+J708-N708)</f>
        <v/>
      </c>
      <c r="P708" s="16" t="str">
        <f aca="false">IF($A708&gt;PARAMETROS!$C$33,"",MAX(E708+I708+J708-N708,0))</f>
        <v/>
      </c>
      <c r="Q708" s="18" t="str">
        <f aca="false">IF($A708&gt;PARAMETROS!$C$33,"",IF(P708&lt;=0,"AGOTADO","OK"))</f>
        <v/>
      </c>
    </row>
    <row r="709" customFormat="false" ht="15" hidden="false" customHeight="false" outlineLevel="0" collapsed="false">
      <c r="A709" s="15" t="n">
        <f aca="false">A708+1</f>
        <v>707</v>
      </c>
      <c r="B709" s="15" t="n">
        <f aca="false">IF($A709="","",ROUNDUP($A709/12,0))</f>
        <v>59</v>
      </c>
      <c r="C709" s="15" t="n">
        <f aca="false">IF($A709="","",PARAMETROS!$C$6+INT(($A709-1)/12))</f>
        <v>123</v>
      </c>
      <c r="D709" s="15" t="n">
        <f aca="false">IF($A709="","",MOD($A709-1,12)+1)</f>
        <v>11</v>
      </c>
      <c r="E709" s="16" t="str">
        <f aca="false">IF($A709&gt;PARAMETROS!$C$33,"",P708)</f>
        <v/>
      </c>
      <c r="F709" s="17" t="str">
        <f aca="false">IF($A709&gt;PARAMETROS!$C$33,"",PARAMETROS!$C$38)</f>
        <v/>
      </c>
      <c r="G709" s="16" t="str">
        <f aca="false">IF($A709&gt;PARAMETROS!$C$33,"",E709*F709)</f>
        <v/>
      </c>
      <c r="H709" s="16" t="str">
        <f aca="false">IF($A709&gt;PARAMETROS!$C$33,"",E709*PARAMETROS!$C$39)</f>
        <v/>
      </c>
      <c r="I709" s="16" t="str">
        <f aca="false">IF($A709&gt;PARAMETROS!$C$33,"",G709-H709)</f>
        <v/>
      </c>
      <c r="J709" s="16" t="str">
        <f aca="false">IF($A709&gt;PARAMETROS!$C$33,"",PARAMETROS!$C$9*(1+PARAMETROS!$C$17)^(B709-1))</f>
        <v/>
      </c>
      <c r="K709" s="16" t="str">
        <f aca="false">IF($A709&gt;PARAMETROS!$C$33,"",K708*(1+PARAMETROS!$C$36))</f>
        <v/>
      </c>
      <c r="L709" s="16" t="str">
        <f aca="false">IF($A709&gt;PARAMETROS!$C$33,"",L708*(1+PARAMETROS!$C$37)*(1+M709))</f>
        <v/>
      </c>
      <c r="M709" s="17" t="str">
        <f aca="false">IF($A709&gt;PARAMETROS!$C$33,"",IF(C709&lt;70,PARAMETROS!$C$40,IF(C709&lt;75,PARAMETROS!$C$41,IF(C709&lt;80,PARAMETROS!$C$42,IF(C709&lt;85,PARAMETROS!$C$43,IF(C709&lt;90,PARAMETROS!$C$44,PARAMETROS!$C$45))))))</f>
        <v/>
      </c>
      <c r="N709" s="16" t="str">
        <f aca="false">IF($A709&gt;PARAMETROS!$C$33,"",K709+L709)</f>
        <v/>
      </c>
      <c r="O709" s="16" t="str">
        <f aca="false">IF($A709&gt;PARAMETROS!$C$33,"",I709+J709-N709)</f>
        <v/>
      </c>
      <c r="P709" s="16" t="str">
        <f aca="false">IF($A709&gt;PARAMETROS!$C$33,"",MAX(E709+I709+J709-N709,0))</f>
        <v/>
      </c>
      <c r="Q709" s="18" t="str">
        <f aca="false">IF($A709&gt;PARAMETROS!$C$33,"",IF(P709&lt;=0,"AGOTADO","OK"))</f>
        <v/>
      </c>
    </row>
    <row r="710" customFormat="false" ht="15" hidden="false" customHeight="false" outlineLevel="0" collapsed="false">
      <c r="A710" s="15" t="n">
        <f aca="false">A709+1</f>
        <v>708</v>
      </c>
      <c r="B710" s="15" t="n">
        <f aca="false">IF($A710="","",ROUNDUP($A710/12,0))</f>
        <v>59</v>
      </c>
      <c r="C710" s="15" t="n">
        <f aca="false">IF($A710="","",PARAMETROS!$C$6+INT(($A710-1)/12))</f>
        <v>123</v>
      </c>
      <c r="D710" s="15" t="n">
        <f aca="false">IF($A710="","",MOD($A710-1,12)+1)</f>
        <v>12</v>
      </c>
      <c r="E710" s="16" t="str">
        <f aca="false">IF($A710&gt;PARAMETROS!$C$33,"",P709)</f>
        <v/>
      </c>
      <c r="F710" s="17" t="str">
        <f aca="false">IF($A710&gt;PARAMETROS!$C$33,"",PARAMETROS!$C$38)</f>
        <v/>
      </c>
      <c r="G710" s="16" t="str">
        <f aca="false">IF($A710&gt;PARAMETROS!$C$33,"",E710*F710)</f>
        <v/>
      </c>
      <c r="H710" s="16" t="str">
        <f aca="false">IF($A710&gt;PARAMETROS!$C$33,"",E710*PARAMETROS!$C$39)</f>
        <v/>
      </c>
      <c r="I710" s="16" t="str">
        <f aca="false">IF($A710&gt;PARAMETROS!$C$33,"",G710-H710)</f>
        <v/>
      </c>
      <c r="J710" s="16" t="str">
        <f aca="false">IF($A710&gt;PARAMETROS!$C$33,"",PARAMETROS!$C$9*(1+PARAMETROS!$C$17)^(B710-1))</f>
        <v/>
      </c>
      <c r="K710" s="16" t="str">
        <f aca="false">IF($A710&gt;PARAMETROS!$C$33,"",K709*(1+PARAMETROS!$C$36))</f>
        <v/>
      </c>
      <c r="L710" s="16" t="str">
        <f aca="false">IF($A710&gt;PARAMETROS!$C$33,"",L709*(1+PARAMETROS!$C$37)*(1+M710))</f>
        <v/>
      </c>
      <c r="M710" s="17" t="str">
        <f aca="false">IF($A710&gt;PARAMETROS!$C$33,"",IF(C710&lt;70,PARAMETROS!$C$40,IF(C710&lt;75,PARAMETROS!$C$41,IF(C710&lt;80,PARAMETROS!$C$42,IF(C710&lt;85,PARAMETROS!$C$43,IF(C710&lt;90,PARAMETROS!$C$44,PARAMETROS!$C$45))))))</f>
        <v/>
      </c>
      <c r="N710" s="16" t="str">
        <f aca="false">IF($A710&gt;PARAMETROS!$C$33,"",K710+L710)</f>
        <v/>
      </c>
      <c r="O710" s="16" t="str">
        <f aca="false">IF($A710&gt;PARAMETROS!$C$33,"",I710+J710-N710)</f>
        <v/>
      </c>
      <c r="P710" s="16" t="str">
        <f aca="false">IF($A710&gt;PARAMETROS!$C$33,"",MAX(E710+I710+J710-N710,0))</f>
        <v/>
      </c>
      <c r="Q710" s="18" t="str">
        <f aca="false">IF($A710&gt;PARAMETROS!$C$33,"",IF(P710&lt;=0,"AGOTADO","OK"))</f>
        <v/>
      </c>
    </row>
    <row r="711" customFormat="false" ht="15" hidden="false" customHeight="false" outlineLevel="0" collapsed="false">
      <c r="A711" s="19" t="n">
        <f aca="false">A710+1</f>
        <v>709</v>
      </c>
      <c r="B711" s="19" t="n">
        <f aca="false">IF($A711="","",ROUNDUP($A711/12,0))</f>
        <v>60</v>
      </c>
      <c r="C711" s="19" t="n">
        <f aca="false">IF($A711="","",PARAMETROS!$C$6+INT(($A711-1)/12))</f>
        <v>124</v>
      </c>
      <c r="D711" s="19" t="n">
        <f aca="false">IF($A711="","",MOD($A711-1,12)+1)</f>
        <v>1</v>
      </c>
      <c r="E711" s="20" t="str">
        <f aca="false">IF($A711&gt;PARAMETROS!$C$33,"",P710)</f>
        <v/>
      </c>
      <c r="F711" s="21" t="str">
        <f aca="false">IF($A711&gt;PARAMETROS!$C$33,"",PARAMETROS!$C$38)</f>
        <v/>
      </c>
      <c r="G711" s="20" t="str">
        <f aca="false">IF($A711&gt;PARAMETROS!$C$33,"",E711*F711)</f>
        <v/>
      </c>
      <c r="H711" s="20" t="str">
        <f aca="false">IF($A711&gt;PARAMETROS!$C$33,"",E711*PARAMETROS!$C$39)</f>
        <v/>
      </c>
      <c r="I711" s="20" t="str">
        <f aca="false">IF($A711&gt;PARAMETROS!$C$33,"",G711-H711)</f>
        <v/>
      </c>
      <c r="J711" s="20" t="str">
        <f aca="false">IF($A711&gt;PARAMETROS!$C$33,"",PARAMETROS!$C$9*(1+PARAMETROS!$C$17)^(B711-1))</f>
        <v/>
      </c>
      <c r="K711" s="20" t="str">
        <f aca="false">IF($A711&gt;PARAMETROS!$C$33,"",K710*(1+PARAMETROS!$C$36))</f>
        <v/>
      </c>
      <c r="L711" s="20" t="str">
        <f aca="false">IF($A711&gt;PARAMETROS!$C$33,"",L710*(1+PARAMETROS!$C$37)*(1+M711))</f>
        <v/>
      </c>
      <c r="M711" s="21" t="str">
        <f aca="false">IF($A711&gt;PARAMETROS!$C$33,"",IF(C711&lt;70,PARAMETROS!$C$40,IF(C711&lt;75,PARAMETROS!$C$41,IF(C711&lt;80,PARAMETROS!$C$42,IF(C711&lt;85,PARAMETROS!$C$43,IF(C711&lt;90,PARAMETROS!$C$44,PARAMETROS!$C$45))))))</f>
        <v/>
      </c>
      <c r="N711" s="20" t="str">
        <f aca="false">IF($A711&gt;PARAMETROS!$C$33,"",K711+L711)</f>
        <v/>
      </c>
      <c r="O711" s="20" t="str">
        <f aca="false">IF($A711&gt;PARAMETROS!$C$33,"",I711+J711-N711)</f>
        <v/>
      </c>
      <c r="P711" s="20" t="str">
        <f aca="false">IF($A711&gt;PARAMETROS!$C$33,"",MAX(E711+I711+J711-N711,0))</f>
        <v/>
      </c>
      <c r="Q711" s="22" t="str">
        <f aca="false">IF($A711&gt;PARAMETROS!$C$33,"",IF(P711&lt;=0,"AGOTADO","OK"))</f>
        <v/>
      </c>
    </row>
    <row r="712" customFormat="false" ht="15" hidden="false" customHeight="false" outlineLevel="0" collapsed="false">
      <c r="A712" s="19" t="n">
        <f aca="false">A711+1</f>
        <v>710</v>
      </c>
      <c r="B712" s="19" t="n">
        <f aca="false">IF($A712="","",ROUNDUP($A712/12,0))</f>
        <v>60</v>
      </c>
      <c r="C712" s="19" t="n">
        <f aca="false">IF($A712="","",PARAMETROS!$C$6+INT(($A712-1)/12))</f>
        <v>124</v>
      </c>
      <c r="D712" s="19" t="n">
        <f aca="false">IF($A712="","",MOD($A712-1,12)+1)</f>
        <v>2</v>
      </c>
      <c r="E712" s="20" t="str">
        <f aca="false">IF($A712&gt;PARAMETROS!$C$33,"",P711)</f>
        <v/>
      </c>
      <c r="F712" s="21" t="str">
        <f aca="false">IF($A712&gt;PARAMETROS!$C$33,"",PARAMETROS!$C$38)</f>
        <v/>
      </c>
      <c r="G712" s="20" t="str">
        <f aca="false">IF($A712&gt;PARAMETROS!$C$33,"",E712*F712)</f>
        <v/>
      </c>
      <c r="H712" s="20" t="str">
        <f aca="false">IF($A712&gt;PARAMETROS!$C$33,"",E712*PARAMETROS!$C$39)</f>
        <v/>
      </c>
      <c r="I712" s="20" t="str">
        <f aca="false">IF($A712&gt;PARAMETROS!$C$33,"",G712-H712)</f>
        <v/>
      </c>
      <c r="J712" s="20" t="str">
        <f aca="false">IF($A712&gt;PARAMETROS!$C$33,"",PARAMETROS!$C$9*(1+PARAMETROS!$C$17)^(B712-1))</f>
        <v/>
      </c>
      <c r="K712" s="20" t="str">
        <f aca="false">IF($A712&gt;PARAMETROS!$C$33,"",K711*(1+PARAMETROS!$C$36))</f>
        <v/>
      </c>
      <c r="L712" s="20" t="str">
        <f aca="false">IF($A712&gt;PARAMETROS!$C$33,"",L711*(1+PARAMETROS!$C$37)*(1+M712))</f>
        <v/>
      </c>
      <c r="M712" s="21" t="str">
        <f aca="false">IF($A712&gt;PARAMETROS!$C$33,"",IF(C712&lt;70,PARAMETROS!$C$40,IF(C712&lt;75,PARAMETROS!$C$41,IF(C712&lt;80,PARAMETROS!$C$42,IF(C712&lt;85,PARAMETROS!$C$43,IF(C712&lt;90,PARAMETROS!$C$44,PARAMETROS!$C$45))))))</f>
        <v/>
      </c>
      <c r="N712" s="20" t="str">
        <f aca="false">IF($A712&gt;PARAMETROS!$C$33,"",K712+L712)</f>
        <v/>
      </c>
      <c r="O712" s="20" t="str">
        <f aca="false">IF($A712&gt;PARAMETROS!$C$33,"",I712+J712-N712)</f>
        <v/>
      </c>
      <c r="P712" s="20" t="str">
        <f aca="false">IF($A712&gt;PARAMETROS!$C$33,"",MAX(E712+I712+J712-N712,0))</f>
        <v/>
      </c>
      <c r="Q712" s="22" t="str">
        <f aca="false">IF($A712&gt;PARAMETROS!$C$33,"",IF(P712&lt;=0,"AGOTADO","OK"))</f>
        <v/>
      </c>
    </row>
    <row r="713" customFormat="false" ht="15" hidden="false" customHeight="false" outlineLevel="0" collapsed="false">
      <c r="A713" s="19" t="n">
        <f aca="false">A712+1</f>
        <v>711</v>
      </c>
      <c r="B713" s="19" t="n">
        <f aca="false">IF($A713="","",ROUNDUP($A713/12,0))</f>
        <v>60</v>
      </c>
      <c r="C713" s="19" t="n">
        <f aca="false">IF($A713="","",PARAMETROS!$C$6+INT(($A713-1)/12))</f>
        <v>124</v>
      </c>
      <c r="D713" s="19" t="n">
        <f aca="false">IF($A713="","",MOD($A713-1,12)+1)</f>
        <v>3</v>
      </c>
      <c r="E713" s="20" t="str">
        <f aca="false">IF($A713&gt;PARAMETROS!$C$33,"",P712)</f>
        <v/>
      </c>
      <c r="F713" s="21" t="str">
        <f aca="false">IF($A713&gt;PARAMETROS!$C$33,"",PARAMETROS!$C$38)</f>
        <v/>
      </c>
      <c r="G713" s="20" t="str">
        <f aca="false">IF($A713&gt;PARAMETROS!$C$33,"",E713*F713)</f>
        <v/>
      </c>
      <c r="H713" s="20" t="str">
        <f aca="false">IF($A713&gt;PARAMETROS!$C$33,"",E713*PARAMETROS!$C$39)</f>
        <v/>
      </c>
      <c r="I713" s="20" t="str">
        <f aca="false">IF($A713&gt;PARAMETROS!$C$33,"",G713-H713)</f>
        <v/>
      </c>
      <c r="J713" s="20" t="str">
        <f aca="false">IF($A713&gt;PARAMETROS!$C$33,"",PARAMETROS!$C$9*(1+PARAMETROS!$C$17)^(B713-1))</f>
        <v/>
      </c>
      <c r="K713" s="20" t="str">
        <f aca="false">IF($A713&gt;PARAMETROS!$C$33,"",K712*(1+PARAMETROS!$C$36))</f>
        <v/>
      </c>
      <c r="L713" s="20" t="str">
        <f aca="false">IF($A713&gt;PARAMETROS!$C$33,"",L712*(1+PARAMETROS!$C$37)*(1+M713))</f>
        <v/>
      </c>
      <c r="M713" s="21" t="str">
        <f aca="false">IF($A713&gt;PARAMETROS!$C$33,"",IF(C713&lt;70,PARAMETROS!$C$40,IF(C713&lt;75,PARAMETROS!$C$41,IF(C713&lt;80,PARAMETROS!$C$42,IF(C713&lt;85,PARAMETROS!$C$43,IF(C713&lt;90,PARAMETROS!$C$44,PARAMETROS!$C$45))))))</f>
        <v/>
      </c>
      <c r="N713" s="20" t="str">
        <f aca="false">IF($A713&gt;PARAMETROS!$C$33,"",K713+L713)</f>
        <v/>
      </c>
      <c r="O713" s="20" t="str">
        <f aca="false">IF($A713&gt;PARAMETROS!$C$33,"",I713+J713-N713)</f>
        <v/>
      </c>
      <c r="P713" s="20" t="str">
        <f aca="false">IF($A713&gt;PARAMETROS!$C$33,"",MAX(E713+I713+J713-N713,0))</f>
        <v/>
      </c>
      <c r="Q713" s="22" t="str">
        <f aca="false">IF($A713&gt;PARAMETROS!$C$33,"",IF(P713&lt;=0,"AGOTADO","OK"))</f>
        <v/>
      </c>
    </row>
    <row r="714" customFormat="false" ht="15" hidden="false" customHeight="false" outlineLevel="0" collapsed="false">
      <c r="A714" s="19" t="n">
        <f aca="false">A713+1</f>
        <v>712</v>
      </c>
      <c r="B714" s="19" t="n">
        <f aca="false">IF($A714="","",ROUNDUP($A714/12,0))</f>
        <v>60</v>
      </c>
      <c r="C714" s="19" t="n">
        <f aca="false">IF($A714="","",PARAMETROS!$C$6+INT(($A714-1)/12))</f>
        <v>124</v>
      </c>
      <c r="D714" s="19" t="n">
        <f aca="false">IF($A714="","",MOD($A714-1,12)+1)</f>
        <v>4</v>
      </c>
      <c r="E714" s="20" t="str">
        <f aca="false">IF($A714&gt;PARAMETROS!$C$33,"",P713)</f>
        <v/>
      </c>
      <c r="F714" s="21" t="str">
        <f aca="false">IF($A714&gt;PARAMETROS!$C$33,"",PARAMETROS!$C$38)</f>
        <v/>
      </c>
      <c r="G714" s="20" t="str">
        <f aca="false">IF($A714&gt;PARAMETROS!$C$33,"",E714*F714)</f>
        <v/>
      </c>
      <c r="H714" s="20" t="str">
        <f aca="false">IF($A714&gt;PARAMETROS!$C$33,"",E714*PARAMETROS!$C$39)</f>
        <v/>
      </c>
      <c r="I714" s="20" t="str">
        <f aca="false">IF($A714&gt;PARAMETROS!$C$33,"",G714-H714)</f>
        <v/>
      </c>
      <c r="J714" s="20" t="str">
        <f aca="false">IF($A714&gt;PARAMETROS!$C$33,"",PARAMETROS!$C$9*(1+PARAMETROS!$C$17)^(B714-1))</f>
        <v/>
      </c>
      <c r="K714" s="20" t="str">
        <f aca="false">IF($A714&gt;PARAMETROS!$C$33,"",K713*(1+PARAMETROS!$C$36))</f>
        <v/>
      </c>
      <c r="L714" s="20" t="str">
        <f aca="false">IF($A714&gt;PARAMETROS!$C$33,"",L713*(1+PARAMETROS!$C$37)*(1+M714))</f>
        <v/>
      </c>
      <c r="M714" s="21" t="str">
        <f aca="false">IF($A714&gt;PARAMETROS!$C$33,"",IF(C714&lt;70,PARAMETROS!$C$40,IF(C714&lt;75,PARAMETROS!$C$41,IF(C714&lt;80,PARAMETROS!$C$42,IF(C714&lt;85,PARAMETROS!$C$43,IF(C714&lt;90,PARAMETROS!$C$44,PARAMETROS!$C$45))))))</f>
        <v/>
      </c>
      <c r="N714" s="20" t="str">
        <f aca="false">IF($A714&gt;PARAMETROS!$C$33,"",K714+L714)</f>
        <v/>
      </c>
      <c r="O714" s="20" t="str">
        <f aca="false">IF($A714&gt;PARAMETROS!$C$33,"",I714+J714-N714)</f>
        <v/>
      </c>
      <c r="P714" s="20" t="str">
        <f aca="false">IF($A714&gt;PARAMETROS!$C$33,"",MAX(E714+I714+J714-N714,0))</f>
        <v/>
      </c>
      <c r="Q714" s="22" t="str">
        <f aca="false">IF($A714&gt;PARAMETROS!$C$33,"",IF(P714&lt;=0,"AGOTADO","OK"))</f>
        <v/>
      </c>
    </row>
    <row r="715" customFormat="false" ht="15" hidden="false" customHeight="false" outlineLevel="0" collapsed="false">
      <c r="A715" s="19" t="n">
        <f aca="false">A714+1</f>
        <v>713</v>
      </c>
      <c r="B715" s="19" t="n">
        <f aca="false">IF($A715="","",ROUNDUP($A715/12,0))</f>
        <v>60</v>
      </c>
      <c r="C715" s="19" t="n">
        <f aca="false">IF($A715="","",PARAMETROS!$C$6+INT(($A715-1)/12))</f>
        <v>124</v>
      </c>
      <c r="D715" s="19" t="n">
        <f aca="false">IF($A715="","",MOD($A715-1,12)+1)</f>
        <v>5</v>
      </c>
      <c r="E715" s="20" t="str">
        <f aca="false">IF($A715&gt;PARAMETROS!$C$33,"",P714)</f>
        <v/>
      </c>
      <c r="F715" s="21" t="str">
        <f aca="false">IF($A715&gt;PARAMETROS!$C$33,"",PARAMETROS!$C$38)</f>
        <v/>
      </c>
      <c r="G715" s="20" t="str">
        <f aca="false">IF($A715&gt;PARAMETROS!$C$33,"",E715*F715)</f>
        <v/>
      </c>
      <c r="H715" s="20" t="str">
        <f aca="false">IF($A715&gt;PARAMETROS!$C$33,"",E715*PARAMETROS!$C$39)</f>
        <v/>
      </c>
      <c r="I715" s="20" t="str">
        <f aca="false">IF($A715&gt;PARAMETROS!$C$33,"",G715-H715)</f>
        <v/>
      </c>
      <c r="J715" s="20" t="str">
        <f aca="false">IF($A715&gt;PARAMETROS!$C$33,"",PARAMETROS!$C$9*(1+PARAMETROS!$C$17)^(B715-1))</f>
        <v/>
      </c>
      <c r="K715" s="20" t="str">
        <f aca="false">IF($A715&gt;PARAMETROS!$C$33,"",K714*(1+PARAMETROS!$C$36))</f>
        <v/>
      </c>
      <c r="L715" s="20" t="str">
        <f aca="false">IF($A715&gt;PARAMETROS!$C$33,"",L714*(1+PARAMETROS!$C$37)*(1+M715))</f>
        <v/>
      </c>
      <c r="M715" s="21" t="str">
        <f aca="false">IF($A715&gt;PARAMETROS!$C$33,"",IF(C715&lt;70,PARAMETROS!$C$40,IF(C715&lt;75,PARAMETROS!$C$41,IF(C715&lt;80,PARAMETROS!$C$42,IF(C715&lt;85,PARAMETROS!$C$43,IF(C715&lt;90,PARAMETROS!$C$44,PARAMETROS!$C$45))))))</f>
        <v/>
      </c>
      <c r="N715" s="20" t="str">
        <f aca="false">IF($A715&gt;PARAMETROS!$C$33,"",K715+L715)</f>
        <v/>
      </c>
      <c r="O715" s="20" t="str">
        <f aca="false">IF($A715&gt;PARAMETROS!$C$33,"",I715+J715-N715)</f>
        <v/>
      </c>
      <c r="P715" s="20" t="str">
        <f aca="false">IF($A715&gt;PARAMETROS!$C$33,"",MAX(E715+I715+J715-N715,0))</f>
        <v/>
      </c>
      <c r="Q715" s="22" t="str">
        <f aca="false">IF($A715&gt;PARAMETROS!$C$33,"",IF(P715&lt;=0,"AGOTADO","OK"))</f>
        <v/>
      </c>
    </row>
    <row r="716" customFormat="false" ht="15" hidden="false" customHeight="false" outlineLevel="0" collapsed="false">
      <c r="A716" s="19" t="n">
        <f aca="false">A715+1</f>
        <v>714</v>
      </c>
      <c r="B716" s="19" t="n">
        <f aca="false">IF($A716="","",ROUNDUP($A716/12,0))</f>
        <v>60</v>
      </c>
      <c r="C716" s="19" t="n">
        <f aca="false">IF($A716="","",PARAMETROS!$C$6+INT(($A716-1)/12))</f>
        <v>124</v>
      </c>
      <c r="D716" s="19" t="n">
        <f aca="false">IF($A716="","",MOD($A716-1,12)+1)</f>
        <v>6</v>
      </c>
      <c r="E716" s="20" t="str">
        <f aca="false">IF($A716&gt;PARAMETROS!$C$33,"",P715)</f>
        <v/>
      </c>
      <c r="F716" s="21" t="str">
        <f aca="false">IF($A716&gt;PARAMETROS!$C$33,"",PARAMETROS!$C$38)</f>
        <v/>
      </c>
      <c r="G716" s="20" t="str">
        <f aca="false">IF($A716&gt;PARAMETROS!$C$33,"",E716*F716)</f>
        <v/>
      </c>
      <c r="H716" s="20" t="str">
        <f aca="false">IF($A716&gt;PARAMETROS!$C$33,"",E716*PARAMETROS!$C$39)</f>
        <v/>
      </c>
      <c r="I716" s="20" t="str">
        <f aca="false">IF($A716&gt;PARAMETROS!$C$33,"",G716-H716)</f>
        <v/>
      </c>
      <c r="J716" s="20" t="str">
        <f aca="false">IF($A716&gt;PARAMETROS!$C$33,"",PARAMETROS!$C$9*(1+PARAMETROS!$C$17)^(B716-1))</f>
        <v/>
      </c>
      <c r="K716" s="20" t="str">
        <f aca="false">IF($A716&gt;PARAMETROS!$C$33,"",K715*(1+PARAMETROS!$C$36))</f>
        <v/>
      </c>
      <c r="L716" s="20" t="str">
        <f aca="false">IF($A716&gt;PARAMETROS!$C$33,"",L715*(1+PARAMETROS!$C$37)*(1+M716))</f>
        <v/>
      </c>
      <c r="M716" s="21" t="str">
        <f aca="false">IF($A716&gt;PARAMETROS!$C$33,"",IF(C716&lt;70,PARAMETROS!$C$40,IF(C716&lt;75,PARAMETROS!$C$41,IF(C716&lt;80,PARAMETROS!$C$42,IF(C716&lt;85,PARAMETROS!$C$43,IF(C716&lt;90,PARAMETROS!$C$44,PARAMETROS!$C$45))))))</f>
        <v/>
      </c>
      <c r="N716" s="20" t="str">
        <f aca="false">IF($A716&gt;PARAMETROS!$C$33,"",K716+L716)</f>
        <v/>
      </c>
      <c r="O716" s="20" t="str">
        <f aca="false">IF($A716&gt;PARAMETROS!$C$33,"",I716+J716-N716)</f>
        <v/>
      </c>
      <c r="P716" s="20" t="str">
        <f aca="false">IF($A716&gt;PARAMETROS!$C$33,"",MAX(E716+I716+J716-N716,0))</f>
        <v/>
      </c>
      <c r="Q716" s="22" t="str">
        <f aca="false">IF($A716&gt;PARAMETROS!$C$33,"",IF(P716&lt;=0,"AGOTADO","OK"))</f>
        <v/>
      </c>
    </row>
    <row r="717" customFormat="false" ht="15" hidden="false" customHeight="false" outlineLevel="0" collapsed="false">
      <c r="A717" s="19" t="n">
        <f aca="false">A716+1</f>
        <v>715</v>
      </c>
      <c r="B717" s="19" t="n">
        <f aca="false">IF($A717="","",ROUNDUP($A717/12,0))</f>
        <v>60</v>
      </c>
      <c r="C717" s="19" t="n">
        <f aca="false">IF($A717="","",PARAMETROS!$C$6+INT(($A717-1)/12))</f>
        <v>124</v>
      </c>
      <c r="D717" s="19" t="n">
        <f aca="false">IF($A717="","",MOD($A717-1,12)+1)</f>
        <v>7</v>
      </c>
      <c r="E717" s="20" t="str">
        <f aca="false">IF($A717&gt;PARAMETROS!$C$33,"",P716)</f>
        <v/>
      </c>
      <c r="F717" s="21" t="str">
        <f aca="false">IF($A717&gt;PARAMETROS!$C$33,"",PARAMETROS!$C$38)</f>
        <v/>
      </c>
      <c r="G717" s="20" t="str">
        <f aca="false">IF($A717&gt;PARAMETROS!$C$33,"",E717*F717)</f>
        <v/>
      </c>
      <c r="H717" s="20" t="str">
        <f aca="false">IF($A717&gt;PARAMETROS!$C$33,"",E717*PARAMETROS!$C$39)</f>
        <v/>
      </c>
      <c r="I717" s="20" t="str">
        <f aca="false">IF($A717&gt;PARAMETROS!$C$33,"",G717-H717)</f>
        <v/>
      </c>
      <c r="J717" s="20" t="str">
        <f aca="false">IF($A717&gt;PARAMETROS!$C$33,"",PARAMETROS!$C$9*(1+PARAMETROS!$C$17)^(B717-1))</f>
        <v/>
      </c>
      <c r="K717" s="20" t="str">
        <f aca="false">IF($A717&gt;PARAMETROS!$C$33,"",K716*(1+PARAMETROS!$C$36))</f>
        <v/>
      </c>
      <c r="L717" s="20" t="str">
        <f aca="false">IF($A717&gt;PARAMETROS!$C$33,"",L716*(1+PARAMETROS!$C$37)*(1+M717))</f>
        <v/>
      </c>
      <c r="M717" s="21" t="str">
        <f aca="false">IF($A717&gt;PARAMETROS!$C$33,"",IF(C717&lt;70,PARAMETROS!$C$40,IF(C717&lt;75,PARAMETROS!$C$41,IF(C717&lt;80,PARAMETROS!$C$42,IF(C717&lt;85,PARAMETROS!$C$43,IF(C717&lt;90,PARAMETROS!$C$44,PARAMETROS!$C$45))))))</f>
        <v/>
      </c>
      <c r="N717" s="20" t="str">
        <f aca="false">IF($A717&gt;PARAMETROS!$C$33,"",K717+L717)</f>
        <v/>
      </c>
      <c r="O717" s="20" t="str">
        <f aca="false">IF($A717&gt;PARAMETROS!$C$33,"",I717+J717-N717)</f>
        <v/>
      </c>
      <c r="P717" s="20" t="str">
        <f aca="false">IF($A717&gt;PARAMETROS!$C$33,"",MAX(E717+I717+J717-N717,0))</f>
        <v/>
      </c>
      <c r="Q717" s="22" t="str">
        <f aca="false">IF($A717&gt;PARAMETROS!$C$33,"",IF(P717&lt;=0,"AGOTADO","OK"))</f>
        <v/>
      </c>
    </row>
    <row r="718" customFormat="false" ht="15" hidden="false" customHeight="false" outlineLevel="0" collapsed="false">
      <c r="A718" s="19" t="n">
        <f aca="false">A717+1</f>
        <v>716</v>
      </c>
      <c r="B718" s="19" t="n">
        <f aca="false">IF($A718="","",ROUNDUP($A718/12,0))</f>
        <v>60</v>
      </c>
      <c r="C718" s="19" t="n">
        <f aca="false">IF($A718="","",PARAMETROS!$C$6+INT(($A718-1)/12))</f>
        <v>124</v>
      </c>
      <c r="D718" s="19" t="n">
        <f aca="false">IF($A718="","",MOD($A718-1,12)+1)</f>
        <v>8</v>
      </c>
      <c r="E718" s="20" t="str">
        <f aca="false">IF($A718&gt;PARAMETROS!$C$33,"",P717)</f>
        <v/>
      </c>
      <c r="F718" s="21" t="str">
        <f aca="false">IF($A718&gt;PARAMETROS!$C$33,"",PARAMETROS!$C$38)</f>
        <v/>
      </c>
      <c r="G718" s="20" t="str">
        <f aca="false">IF($A718&gt;PARAMETROS!$C$33,"",E718*F718)</f>
        <v/>
      </c>
      <c r="H718" s="20" t="str">
        <f aca="false">IF($A718&gt;PARAMETROS!$C$33,"",E718*PARAMETROS!$C$39)</f>
        <v/>
      </c>
      <c r="I718" s="20" t="str">
        <f aca="false">IF($A718&gt;PARAMETROS!$C$33,"",G718-H718)</f>
        <v/>
      </c>
      <c r="J718" s="20" t="str">
        <f aca="false">IF($A718&gt;PARAMETROS!$C$33,"",PARAMETROS!$C$9*(1+PARAMETROS!$C$17)^(B718-1))</f>
        <v/>
      </c>
      <c r="K718" s="20" t="str">
        <f aca="false">IF($A718&gt;PARAMETROS!$C$33,"",K717*(1+PARAMETROS!$C$36))</f>
        <v/>
      </c>
      <c r="L718" s="20" t="str">
        <f aca="false">IF($A718&gt;PARAMETROS!$C$33,"",L717*(1+PARAMETROS!$C$37)*(1+M718))</f>
        <v/>
      </c>
      <c r="M718" s="21" t="str">
        <f aca="false">IF($A718&gt;PARAMETROS!$C$33,"",IF(C718&lt;70,PARAMETROS!$C$40,IF(C718&lt;75,PARAMETROS!$C$41,IF(C718&lt;80,PARAMETROS!$C$42,IF(C718&lt;85,PARAMETROS!$C$43,IF(C718&lt;90,PARAMETROS!$C$44,PARAMETROS!$C$45))))))</f>
        <v/>
      </c>
      <c r="N718" s="20" t="str">
        <f aca="false">IF($A718&gt;PARAMETROS!$C$33,"",K718+L718)</f>
        <v/>
      </c>
      <c r="O718" s="20" t="str">
        <f aca="false">IF($A718&gt;PARAMETROS!$C$33,"",I718+J718-N718)</f>
        <v/>
      </c>
      <c r="P718" s="20" t="str">
        <f aca="false">IF($A718&gt;PARAMETROS!$C$33,"",MAX(E718+I718+J718-N718,0))</f>
        <v/>
      </c>
      <c r="Q718" s="22" t="str">
        <f aca="false">IF($A718&gt;PARAMETROS!$C$33,"",IF(P718&lt;=0,"AGOTADO","OK"))</f>
        <v/>
      </c>
    </row>
    <row r="719" customFormat="false" ht="15" hidden="false" customHeight="false" outlineLevel="0" collapsed="false">
      <c r="A719" s="19" t="n">
        <f aca="false">A718+1</f>
        <v>717</v>
      </c>
      <c r="B719" s="19" t="n">
        <f aca="false">IF($A719="","",ROUNDUP($A719/12,0))</f>
        <v>60</v>
      </c>
      <c r="C719" s="19" t="n">
        <f aca="false">IF($A719="","",PARAMETROS!$C$6+INT(($A719-1)/12))</f>
        <v>124</v>
      </c>
      <c r="D719" s="19" t="n">
        <f aca="false">IF($A719="","",MOD($A719-1,12)+1)</f>
        <v>9</v>
      </c>
      <c r="E719" s="20" t="str">
        <f aca="false">IF($A719&gt;PARAMETROS!$C$33,"",P718)</f>
        <v/>
      </c>
      <c r="F719" s="21" t="str">
        <f aca="false">IF($A719&gt;PARAMETROS!$C$33,"",PARAMETROS!$C$38)</f>
        <v/>
      </c>
      <c r="G719" s="20" t="str">
        <f aca="false">IF($A719&gt;PARAMETROS!$C$33,"",E719*F719)</f>
        <v/>
      </c>
      <c r="H719" s="20" t="str">
        <f aca="false">IF($A719&gt;PARAMETROS!$C$33,"",E719*PARAMETROS!$C$39)</f>
        <v/>
      </c>
      <c r="I719" s="20" t="str">
        <f aca="false">IF($A719&gt;PARAMETROS!$C$33,"",G719-H719)</f>
        <v/>
      </c>
      <c r="J719" s="20" t="str">
        <f aca="false">IF($A719&gt;PARAMETROS!$C$33,"",PARAMETROS!$C$9*(1+PARAMETROS!$C$17)^(B719-1))</f>
        <v/>
      </c>
      <c r="K719" s="20" t="str">
        <f aca="false">IF($A719&gt;PARAMETROS!$C$33,"",K718*(1+PARAMETROS!$C$36))</f>
        <v/>
      </c>
      <c r="L719" s="20" t="str">
        <f aca="false">IF($A719&gt;PARAMETROS!$C$33,"",L718*(1+PARAMETROS!$C$37)*(1+M719))</f>
        <v/>
      </c>
      <c r="M719" s="21" t="str">
        <f aca="false">IF($A719&gt;PARAMETROS!$C$33,"",IF(C719&lt;70,PARAMETROS!$C$40,IF(C719&lt;75,PARAMETROS!$C$41,IF(C719&lt;80,PARAMETROS!$C$42,IF(C719&lt;85,PARAMETROS!$C$43,IF(C719&lt;90,PARAMETROS!$C$44,PARAMETROS!$C$45))))))</f>
        <v/>
      </c>
      <c r="N719" s="20" t="str">
        <f aca="false">IF($A719&gt;PARAMETROS!$C$33,"",K719+L719)</f>
        <v/>
      </c>
      <c r="O719" s="20" t="str">
        <f aca="false">IF($A719&gt;PARAMETROS!$C$33,"",I719+J719-N719)</f>
        <v/>
      </c>
      <c r="P719" s="20" t="str">
        <f aca="false">IF($A719&gt;PARAMETROS!$C$33,"",MAX(E719+I719+J719-N719,0))</f>
        <v/>
      </c>
      <c r="Q719" s="22" t="str">
        <f aca="false">IF($A719&gt;PARAMETROS!$C$33,"",IF(P719&lt;=0,"AGOTADO","OK"))</f>
        <v/>
      </c>
    </row>
    <row r="720" customFormat="false" ht="15" hidden="false" customHeight="false" outlineLevel="0" collapsed="false">
      <c r="A720" s="19" t="n">
        <f aca="false">A719+1</f>
        <v>718</v>
      </c>
      <c r="B720" s="19" t="n">
        <f aca="false">IF($A720="","",ROUNDUP($A720/12,0))</f>
        <v>60</v>
      </c>
      <c r="C720" s="19" t="n">
        <f aca="false">IF($A720="","",PARAMETROS!$C$6+INT(($A720-1)/12))</f>
        <v>124</v>
      </c>
      <c r="D720" s="19" t="n">
        <f aca="false">IF($A720="","",MOD($A720-1,12)+1)</f>
        <v>10</v>
      </c>
      <c r="E720" s="20" t="str">
        <f aca="false">IF($A720&gt;PARAMETROS!$C$33,"",P719)</f>
        <v/>
      </c>
      <c r="F720" s="21" t="str">
        <f aca="false">IF($A720&gt;PARAMETROS!$C$33,"",PARAMETROS!$C$38)</f>
        <v/>
      </c>
      <c r="G720" s="20" t="str">
        <f aca="false">IF($A720&gt;PARAMETROS!$C$33,"",E720*F720)</f>
        <v/>
      </c>
      <c r="H720" s="20" t="str">
        <f aca="false">IF($A720&gt;PARAMETROS!$C$33,"",E720*PARAMETROS!$C$39)</f>
        <v/>
      </c>
      <c r="I720" s="20" t="str">
        <f aca="false">IF($A720&gt;PARAMETROS!$C$33,"",G720-H720)</f>
        <v/>
      </c>
      <c r="J720" s="20" t="str">
        <f aca="false">IF($A720&gt;PARAMETROS!$C$33,"",PARAMETROS!$C$9*(1+PARAMETROS!$C$17)^(B720-1))</f>
        <v/>
      </c>
      <c r="K720" s="20" t="str">
        <f aca="false">IF($A720&gt;PARAMETROS!$C$33,"",K719*(1+PARAMETROS!$C$36))</f>
        <v/>
      </c>
      <c r="L720" s="20" t="str">
        <f aca="false">IF($A720&gt;PARAMETROS!$C$33,"",L719*(1+PARAMETROS!$C$37)*(1+M720))</f>
        <v/>
      </c>
      <c r="M720" s="21" t="str">
        <f aca="false">IF($A720&gt;PARAMETROS!$C$33,"",IF(C720&lt;70,PARAMETROS!$C$40,IF(C720&lt;75,PARAMETROS!$C$41,IF(C720&lt;80,PARAMETROS!$C$42,IF(C720&lt;85,PARAMETROS!$C$43,IF(C720&lt;90,PARAMETROS!$C$44,PARAMETROS!$C$45))))))</f>
        <v/>
      </c>
      <c r="N720" s="20" t="str">
        <f aca="false">IF($A720&gt;PARAMETROS!$C$33,"",K720+L720)</f>
        <v/>
      </c>
      <c r="O720" s="20" t="str">
        <f aca="false">IF($A720&gt;PARAMETROS!$C$33,"",I720+J720-N720)</f>
        <v/>
      </c>
      <c r="P720" s="20" t="str">
        <f aca="false">IF($A720&gt;PARAMETROS!$C$33,"",MAX(E720+I720+J720-N720,0))</f>
        <v/>
      </c>
      <c r="Q720" s="22" t="str">
        <f aca="false">IF($A720&gt;PARAMETROS!$C$33,"",IF(P720&lt;=0,"AGOTADO","OK"))</f>
        <v/>
      </c>
    </row>
    <row r="721" customFormat="false" ht="15" hidden="false" customHeight="false" outlineLevel="0" collapsed="false">
      <c r="A721" s="19" t="n">
        <f aca="false">A720+1</f>
        <v>719</v>
      </c>
      <c r="B721" s="19" t="n">
        <f aca="false">IF($A721="","",ROUNDUP($A721/12,0))</f>
        <v>60</v>
      </c>
      <c r="C721" s="19" t="n">
        <f aca="false">IF($A721="","",PARAMETROS!$C$6+INT(($A721-1)/12))</f>
        <v>124</v>
      </c>
      <c r="D721" s="19" t="n">
        <f aca="false">IF($A721="","",MOD($A721-1,12)+1)</f>
        <v>11</v>
      </c>
      <c r="E721" s="20" t="str">
        <f aca="false">IF($A721&gt;PARAMETROS!$C$33,"",P720)</f>
        <v/>
      </c>
      <c r="F721" s="21" t="str">
        <f aca="false">IF($A721&gt;PARAMETROS!$C$33,"",PARAMETROS!$C$38)</f>
        <v/>
      </c>
      <c r="G721" s="20" t="str">
        <f aca="false">IF($A721&gt;PARAMETROS!$C$33,"",E721*F721)</f>
        <v/>
      </c>
      <c r="H721" s="20" t="str">
        <f aca="false">IF($A721&gt;PARAMETROS!$C$33,"",E721*PARAMETROS!$C$39)</f>
        <v/>
      </c>
      <c r="I721" s="20" t="str">
        <f aca="false">IF($A721&gt;PARAMETROS!$C$33,"",G721-H721)</f>
        <v/>
      </c>
      <c r="J721" s="20" t="str">
        <f aca="false">IF($A721&gt;PARAMETROS!$C$33,"",PARAMETROS!$C$9*(1+PARAMETROS!$C$17)^(B721-1))</f>
        <v/>
      </c>
      <c r="K721" s="20" t="str">
        <f aca="false">IF($A721&gt;PARAMETROS!$C$33,"",K720*(1+PARAMETROS!$C$36))</f>
        <v/>
      </c>
      <c r="L721" s="20" t="str">
        <f aca="false">IF($A721&gt;PARAMETROS!$C$33,"",L720*(1+PARAMETROS!$C$37)*(1+M721))</f>
        <v/>
      </c>
      <c r="M721" s="21" t="str">
        <f aca="false">IF($A721&gt;PARAMETROS!$C$33,"",IF(C721&lt;70,PARAMETROS!$C$40,IF(C721&lt;75,PARAMETROS!$C$41,IF(C721&lt;80,PARAMETROS!$C$42,IF(C721&lt;85,PARAMETROS!$C$43,IF(C721&lt;90,PARAMETROS!$C$44,PARAMETROS!$C$45))))))</f>
        <v/>
      </c>
      <c r="N721" s="20" t="str">
        <f aca="false">IF($A721&gt;PARAMETROS!$C$33,"",K721+L721)</f>
        <v/>
      </c>
      <c r="O721" s="20" t="str">
        <f aca="false">IF($A721&gt;PARAMETROS!$C$33,"",I721+J721-N721)</f>
        <v/>
      </c>
      <c r="P721" s="20" t="str">
        <f aca="false">IF($A721&gt;PARAMETROS!$C$33,"",MAX(E721+I721+J721-N721,0))</f>
        <v/>
      </c>
      <c r="Q721" s="22" t="str">
        <f aca="false">IF($A721&gt;PARAMETROS!$C$33,"",IF(P721&lt;=0,"AGOTADO","OK"))</f>
        <v/>
      </c>
    </row>
    <row r="722" customFormat="false" ht="15" hidden="false" customHeight="false" outlineLevel="0" collapsed="false">
      <c r="A722" s="19" t="n">
        <f aca="false">A721+1</f>
        <v>720</v>
      </c>
      <c r="B722" s="19" t="n">
        <f aca="false">IF($A722="","",ROUNDUP($A722/12,0))</f>
        <v>60</v>
      </c>
      <c r="C722" s="19" t="n">
        <f aca="false">IF($A722="","",PARAMETROS!$C$6+INT(($A722-1)/12))</f>
        <v>124</v>
      </c>
      <c r="D722" s="19" t="n">
        <f aca="false">IF($A722="","",MOD($A722-1,12)+1)</f>
        <v>12</v>
      </c>
      <c r="E722" s="20" t="str">
        <f aca="false">IF($A722&gt;PARAMETROS!$C$33,"",P721)</f>
        <v/>
      </c>
      <c r="F722" s="21" t="str">
        <f aca="false">IF($A722&gt;PARAMETROS!$C$33,"",PARAMETROS!$C$38)</f>
        <v/>
      </c>
      <c r="G722" s="20" t="str">
        <f aca="false">IF($A722&gt;PARAMETROS!$C$33,"",E722*F722)</f>
        <v/>
      </c>
      <c r="H722" s="20" t="str">
        <f aca="false">IF($A722&gt;PARAMETROS!$C$33,"",E722*PARAMETROS!$C$39)</f>
        <v/>
      </c>
      <c r="I722" s="20" t="str">
        <f aca="false">IF($A722&gt;PARAMETROS!$C$33,"",G722-H722)</f>
        <v/>
      </c>
      <c r="J722" s="20" t="str">
        <f aca="false">IF($A722&gt;PARAMETROS!$C$33,"",PARAMETROS!$C$9*(1+PARAMETROS!$C$17)^(B722-1))</f>
        <v/>
      </c>
      <c r="K722" s="20" t="str">
        <f aca="false">IF($A722&gt;PARAMETROS!$C$33,"",K721*(1+PARAMETROS!$C$36))</f>
        <v/>
      </c>
      <c r="L722" s="20" t="str">
        <f aca="false">IF($A722&gt;PARAMETROS!$C$33,"",L721*(1+PARAMETROS!$C$37)*(1+M722))</f>
        <v/>
      </c>
      <c r="M722" s="21" t="str">
        <f aca="false">IF($A722&gt;PARAMETROS!$C$33,"",IF(C722&lt;70,PARAMETROS!$C$40,IF(C722&lt;75,PARAMETROS!$C$41,IF(C722&lt;80,PARAMETROS!$C$42,IF(C722&lt;85,PARAMETROS!$C$43,IF(C722&lt;90,PARAMETROS!$C$44,PARAMETROS!$C$45))))))</f>
        <v/>
      </c>
      <c r="N722" s="20" t="str">
        <f aca="false">IF($A722&gt;PARAMETROS!$C$33,"",K722+L722)</f>
        <v/>
      </c>
      <c r="O722" s="20" t="str">
        <f aca="false">IF($A722&gt;PARAMETROS!$C$33,"",I722+J722-N722)</f>
        <v/>
      </c>
      <c r="P722" s="20" t="str">
        <f aca="false">IF($A722&gt;PARAMETROS!$C$33,"",MAX(E722+I722+J722-N722,0))</f>
        <v/>
      </c>
      <c r="Q722" s="22" t="str">
        <f aca="false">IF($A722&gt;PARAMETROS!$C$33,"",IF(P722&lt;=0,"AGOTADO","OK"))</f>
        <v/>
      </c>
    </row>
  </sheetData>
  <autoFilter ref="A2:Q722"/>
  <mergeCells count="1">
    <mergeCell ref="A1:Q1"/>
  </mergeCells>
  <conditionalFormatting sqref="Q3:Q722">
    <cfRule type="expression" priority="2" aboveAverage="0" equalAverage="0" bottom="0" percent="0" rank="0" text="" dxfId="9">
      <formula>$Q3="AGOTADO"</formula>
    </cfRule>
    <cfRule type="expression" priority="3" aboveAverage="0" equalAverage="0" bottom="0" percent="0" rank="0" text="" dxfId="10">
      <formula>$Q3="OK"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B2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5" min="4" style="0" width="3"/>
  </cols>
  <sheetData>
    <row r="2" customFormat="false" ht="27.75" hidden="false" customHeight="true" outlineLevel="0" collapsed="false">
      <c r="B2" s="1" t="s">
        <v>58</v>
      </c>
      <c r="C2" s="1"/>
    </row>
    <row r="4" customFormat="false" ht="19.5" hidden="false" customHeight="true" outlineLevel="0" collapsed="false">
      <c r="B4" s="3" t="s">
        <v>59</v>
      </c>
      <c r="C4" s="3"/>
    </row>
    <row r="5" customFormat="false" ht="15" hidden="false" customHeight="false" outlineLevel="0" collapsed="false">
      <c r="B5" s="4" t="s">
        <v>60</v>
      </c>
      <c r="C5" s="23" t="n">
        <f aca="false">PARAMETROS!C6</f>
        <v>65</v>
      </c>
    </row>
    <row r="6" customFormat="false" ht="15" hidden="false" customHeight="false" outlineLevel="0" collapsed="false">
      <c r="B6" s="4" t="s">
        <v>61</v>
      </c>
      <c r="C6" s="23" t="n">
        <f aca="false">PARAMETROS!C7</f>
        <v>95</v>
      </c>
    </row>
    <row r="7" customFormat="false" ht="15" hidden="false" customHeight="false" outlineLevel="0" collapsed="false">
      <c r="B7" s="4" t="s">
        <v>62</v>
      </c>
      <c r="C7" s="23" t="n">
        <f aca="false">PARAMETROS!C33</f>
        <v>360</v>
      </c>
    </row>
    <row r="8" customFormat="false" ht="15" hidden="false" customHeight="false" outlineLevel="0" collapsed="false">
      <c r="B8" s="4" t="s">
        <v>63</v>
      </c>
      <c r="C8" s="24" t="n">
        <f aca="false">PARAMETROS!C8</f>
        <v>1000000</v>
      </c>
    </row>
    <row r="9" customFormat="false" ht="15" hidden="false" customHeight="false" outlineLevel="0" collapsed="false">
      <c r="B9" s="4" t="s">
        <v>64</v>
      </c>
      <c r="C9" s="24" t="n">
        <f aca="false">PARAMETROS!C9</f>
        <v>30000</v>
      </c>
    </row>
    <row r="10" customFormat="false" ht="15" hidden="false" customHeight="false" outlineLevel="0" collapsed="false">
      <c r="B10" s="4" t="s">
        <v>65</v>
      </c>
      <c r="C10" s="24" t="n">
        <f aca="false">PARAMETROS!C10</f>
        <v>32000</v>
      </c>
    </row>
    <row r="12" customFormat="false" ht="19.5" hidden="false" customHeight="true" outlineLevel="0" collapsed="false">
      <c r="B12" s="3" t="s">
        <v>66</v>
      </c>
      <c r="C12" s="3"/>
    </row>
    <row r="13" customFormat="false" ht="15" hidden="false" customHeight="false" outlineLevel="0" collapsed="false">
      <c r="B13" s="4" t="s">
        <v>67</v>
      </c>
      <c r="C13" s="24" t="n">
        <f aca="false">INDEX(AMORTIZACION!$J$3:$J$722,PARAMETROS!C33)</f>
        <v>92006.7980195539</v>
      </c>
    </row>
    <row r="14" customFormat="false" ht="15" hidden="false" customHeight="false" outlineLevel="0" collapsed="false">
      <c r="B14" s="4" t="s">
        <v>68</v>
      </c>
      <c r="C14" s="24" t="n">
        <f aca="false">INDEX(AMORTIZACION!$N$3:$N$722,PARAMETROS!C33)</f>
        <v>128373.68628858</v>
      </c>
    </row>
    <row r="15" customFormat="false" ht="15" hidden="false" customHeight="false" outlineLevel="0" collapsed="false">
      <c r="B15" s="4" t="s">
        <v>69</v>
      </c>
      <c r="C15" s="24" t="n">
        <f aca="false">INDEX(AMORTIZACION!$L$3:$L$722,PARAMETROS!C33)</f>
        <v>40968.8219541978</v>
      </c>
    </row>
    <row r="16" customFormat="false" ht="15" hidden="false" customHeight="false" outlineLevel="0" collapsed="false">
      <c r="B16" s="4" t="s">
        <v>70</v>
      </c>
      <c r="C16" s="25" t="n">
        <f aca="false">C15/C14</f>
        <v>0.319137224603034</v>
      </c>
    </row>
    <row r="17" customFormat="false" ht="15" hidden="false" customHeight="false" outlineLevel="0" collapsed="false">
      <c r="B17" s="4" t="s">
        <v>71</v>
      </c>
      <c r="C17" s="24" t="n">
        <f aca="false">INDEX(AMORTIZACION!$P$3:$P$722,PARAMETROS!C33)</f>
        <v>0</v>
      </c>
    </row>
    <row r="19" customFormat="false" ht="19.5" hidden="false" customHeight="true" outlineLevel="0" collapsed="false">
      <c r="B19" s="3" t="s">
        <v>72</v>
      </c>
      <c r="C19" s="3"/>
    </row>
    <row r="20" customFormat="false" ht="15" hidden="false" customHeight="false" outlineLevel="0" collapsed="false">
      <c r="B20" s="4" t="s">
        <v>73</v>
      </c>
      <c r="C20" s="26" t="str">
        <f aca="false">IF(ISNUMBER(MATCH("AGOTADO",AMORTIZACION!$Q$3:$Q$722,0)),"NO ALCANZA — se agota antes","SI ALCANZA hasta la edad final")</f>
        <v>NO ALCANZA — se agota antes</v>
      </c>
    </row>
    <row r="21" customFormat="false" ht="15" hidden="false" customHeight="false" outlineLevel="0" collapsed="false">
      <c r="B21" s="4" t="s">
        <v>74</v>
      </c>
      <c r="C21" s="23" t="n">
        <f aca="false">IFERROR(INDEX(AMORTIZACION!$C$3:$C$722,MATCH("AGOTADO",AMORTIZACION!$Q$3:$Q$722,0)),"No se agota en el horizonte")</f>
        <v>82</v>
      </c>
    </row>
    <row r="22" customFormat="false" ht="15" hidden="false" customHeight="false" outlineLevel="0" collapsed="false">
      <c r="B22" s="4" t="s">
        <v>75</v>
      </c>
      <c r="C22" s="23" t="n">
        <f aca="false">IFERROR(INDEX(AMORTIZACION!$A$3:$A$722,MATCH("AGOTADO",AMORTIZACION!$Q$3:$Q$722,0)),"N/A")</f>
        <v>210</v>
      </c>
    </row>
    <row r="24" customFormat="false" ht="19.5" hidden="false" customHeight="true" outlineLevel="0" collapsed="false">
      <c r="B24" s="3" t="s">
        <v>76</v>
      </c>
      <c r="C24" s="3"/>
    </row>
    <row r="25" customFormat="false" ht="15" hidden="false" customHeight="true" outlineLevel="0" collapsed="false">
      <c r="B25" s="27" t="s">
        <v>77</v>
      </c>
      <c r="C25" s="27"/>
    </row>
    <row r="26" customFormat="false" ht="15" hidden="false" customHeight="false" outlineLevel="0" collapsed="false">
      <c r="B26" s="27"/>
      <c r="C26" s="27"/>
    </row>
    <row r="27" customFormat="false" ht="15" hidden="false" customHeight="false" outlineLevel="0" collapsed="false">
      <c r="B27" s="27"/>
      <c r="C27" s="27"/>
    </row>
    <row r="28" customFormat="false" ht="15" hidden="false" customHeight="false" outlineLevel="0" collapsed="false">
      <c r="B28" s="27"/>
      <c r="C28" s="27"/>
    </row>
    <row r="29" customFormat="false" ht="15" hidden="false" customHeight="false" outlineLevel="0" collapsed="false">
      <c r="B29" s="27"/>
      <c r="C29" s="27"/>
    </row>
    <row r="31" customFormat="false" ht="19.5" hidden="false" customHeight="true" outlineLevel="0" collapsed="false">
      <c r="B31" s="3" t="s">
        <v>78</v>
      </c>
      <c r="C31" s="3"/>
      <c r="D31" s="3"/>
      <c r="E31" s="3"/>
      <c r="F31" s="3"/>
      <c r="G31" s="3"/>
      <c r="H31" s="3"/>
    </row>
    <row r="32" customFormat="false" ht="27.75" hidden="false" customHeight="true" outlineLevel="0" collapsed="false">
      <c r="B32" s="13" t="s">
        <v>79</v>
      </c>
      <c r="C32" s="13"/>
      <c r="D32" s="13"/>
      <c r="E32" s="13"/>
      <c r="F32" s="13"/>
      <c r="G32" s="13"/>
      <c r="H32" s="13"/>
    </row>
  </sheetData>
  <mergeCells count="8">
    <mergeCell ref="B2:C2"/>
    <mergeCell ref="B4:C4"/>
    <mergeCell ref="B12:C12"/>
    <mergeCell ref="B19:C19"/>
    <mergeCell ref="B24:C24"/>
    <mergeCell ref="B25:C29"/>
    <mergeCell ref="B31:H31"/>
    <mergeCell ref="B32:H32"/>
  </mergeCells>
  <conditionalFormatting sqref="C20">
    <cfRule type="expression" priority="2" aboveAverage="0" equalAverage="0" bottom="0" percent="0" rank="0" text="" dxfId="9">
      <formula>ISNUMBER(SEARCH("NO ALCANZA",C20))</formula>
    </cfRule>
    <cfRule type="expression" priority="3" aboveAverage="0" equalAverage="0" bottom="0" percent="0" rank="0" text="" dxfId="11">
      <formula>ISNUMBER(SEARCH("SI ALCANZA",C20))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2026-08-08T18:49:37Z</dcterms:created>
  <dc:creator>openpyxl</dc:creator>
  <dc:description/>
  <dc:language>en-US</dc:language>
  <cp:lastModifiedBy/>
  <dcterms:modified xsi:type="dcterms:W3CDTF">2026-08-08T18:49:44Z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